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1. Khởi thế\Báo cáo\Linh chi\"/>
    </mc:Choice>
  </mc:AlternateContent>
  <xr:revisionPtr revIDLastSave="0" documentId="13_ncr:1_{32471A2E-4577-4B6F-B03A-420C54750C9E}" xr6:coauthVersionLast="47" xr6:coauthVersionMax="47" xr10:uidLastSave="{00000000-0000-0000-0000-000000000000}"/>
  <bookViews>
    <workbookView xWindow="-110" yWindow="-110" windowWidth="19420" windowHeight="11500" firstSheet="5" activeTab="7" xr2:uid="{00000000-000D-0000-FFFF-FFFF00000000}"/>
  </bookViews>
  <sheets>
    <sheet name="Điều kiện lọc" sheetId="1" r:id="rId1"/>
    <sheet name="Tổng quan thị trường" sheetId="2" r:id="rId2"/>
    <sheet name="Doanh số theo TMĐT" sheetId="3" r:id="rId3"/>
    <sheet name="Tăng trưởng doanh số" sheetId="4" r:id="rId4"/>
    <sheet name="Ngành hàng theo DS" sheetId="5" r:id="rId5"/>
    <sheet name="Mức giá theo DS" sheetId="6" r:id="rId6"/>
    <sheet name="Top 10 thương hiệu (DS)" sheetId="7" r:id="rId7"/>
    <sheet name="Top 10 gian hàng (DS)" sheetId="8" r:id="rId8"/>
    <sheet name="Top 10 thương hiệu (gian hàng)" sheetId="9" r:id="rId9"/>
    <sheet name="Kiểu gian hàng (DS)" sheetId="10" r:id="rId10"/>
    <sheet name="Vị trí" sheetId="11" r:id="rId11"/>
    <sheet name="Top sản phẩm bán chạy" sheetId="12" r:id="rId12"/>
    <sheet name="Top gian hàng bán chạy" sheetId="13" r:id="rId13"/>
    <sheet name="Top thương hiệu bán chạy" sheetId="14" r:id="rId14"/>
  </sheets>
  <definedNames>
    <definedName name="_xlchart.v5.0" hidden="1">'Vị trí'!$A$5</definedName>
    <definedName name="_xlchart.v5.1" hidden="1">'Vị trí'!$A$6:$A$16</definedName>
    <definedName name="_xlchart.v5.2" hidden="1">'Vị trí'!$B$6:$B$16</definedName>
    <definedName name="_xlchart.v5.3" hidden="1">'Vị trí'!$A$5</definedName>
    <definedName name="_xlchart.v5.4" hidden="1">'Vị trí'!$A$6:$A$16</definedName>
    <definedName name="_xlchart.v5.5" hidden="1">'Vị trí'!$B$6:$B$16</definedName>
  </definedNames>
  <calcPr calcId="0"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<sst xmlns="http://schemas.openxmlformats.org/spreadsheetml/2006/main">
  <si>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Dựa vào hình trên rồi điền vào bảng sau</t>
  </si>
  <si>
    <t>Danh mục</t>
  </si>
  <si>
    <t>Dữ liệu được cấu hình / Điền vào</t>
  </si>
  <si>
    <t>Kênh bán hàng</t>
  </si>
  <si>
    <t>Shopee, Lazada, Tiktok</t>
  </si>
  <si>
    <t>Thời gian</t>
  </si>
  <si>
    <t>Tuỳ chọn (Từ 20-04-2024 đến 20-04-2026)</t>
  </si>
  <si>
    <t>Danh mục sản phẩm</t>
  </si>
  <si>
    <t>Bách Hoá - Thực Phẩm(14), Chưa phân loại</t>
  </si>
  <si>
    <t>Từ khóa</t>
  </si>
  <si>
    <t>linh chi</t>
  </si>
  <si>
    <t>Hữu ích (Bộ lọc)</t>
  </si>
  <si>
    <t>• Lọc sản phẩm ảo/bất thường
• Lọc sản phẩm quà tặng
• Lọc bỏ sản phẩm đã bị xóa</t>
  </si>
  <si>
    <t>Người bán (Shop)</t>
  </si>
  <si>
    <t>Shop Chính hãng (Mall), Shop Thông thường</t>
  </si>
  <si>
    <t>Lọc theo tham số</t>
  </si>
  <si>
    <t>Tổng đánh giá &gt; 0.02 * Tổng đã bán</t>
  </si>
  <si>
    <t>Dựa vào thông tin trên, lập thành bảng gồm 2 cột: Năm 2026  (không điền điền đơn vị , đổi ra số, ví dụ 1 nghìn thì điền 1.000), và % tăng trưởng so với năm liền kề (lưu ý: để đơn vị %, ví dụ 10%), và 4 dòng gồm Doanh số, lượt bán, sản phẩm có lượt bán, và gian hàng có lượt bán và % tăng trưởng so với năm liền kề</t>
  </si>
  <si>
    <t>Chỉ tiêu</t>
  </si>
  <si>
    <t>Năm 2026</t>
  </si>
  <si>
    <t>% tăng trưởng so với năm liền kề</t>
  </si>
  <si>
    <t>Doanh số</t>
  </si>
  <si>
    <t>Lượt bán</t>
  </si>
  <si>
    <t>Sản phẩm có lượt bán</t>
  </si>
  <si>
    <t>Gian hàng có lượt bán</t>
  </si>
  <si>
    <t>Tổng quan thị trường</t>
  </si>
  <si>
    <t>Năm 2025</t>
  </si>
  <si>
    <t>Giá trị trung bình trên mỗi đơn hàng / lượt bán (AOV - Average Order Value)</t>
  </si>
  <si>
    <t>Số lượng sản phẩm bán ra trung bình trên mỗi gian hàng</t>
  </si>
  <si>
    <t>Doanh thu trung bình trên mỗi gian hàng (ARPU - Average Revenue Per Unit/Merchant)</t>
  </si>
  <si>
    <t>Hiệu suất khai thác SKU sản phẩm (Độ đa dạng danh mục phát sinh đơn)</t>
  </si>
  <si>
    <t>Tỷ lệ phân bổ Sản phẩm và Gian hàng (Mức độ cạnh tranh)</t>
  </si>
  <si>
    <t>Dựa vào thông tin trên, điền nội dung vào bảng: cột doanh số k điền đơn vị (lưu ý: đổi ra số, ví dụ 1 nghìn thì điền 1.000) và cột tỷ trọng thì để đơn vị là %, ví dụ 10%</t>
  </si>
  <si>
    <t>Bảng Doanh số theo Sàn Thương mại Điện tử</t>
  </si>
  <si>
    <t>Nền tảng</t>
  </si>
  <si>
    <t>Tỷ trọng</t>
  </si>
  <si>
    <t>Tiktok</t>
  </si>
  <si>
    <t>80.86%</t>
  </si>
  <si>
    <t>Shopee</t>
  </si>
  <si>
    <t>16.3%</t>
  </si>
  <si>
    <t>Lazada</t>
  </si>
  <si>
    <t>2.84%</t>
  </si>
  <si>
    <t>Tiki</t>
  </si>
  <si>
    <t xml:space="preserve">Tổng cộng </t>
  </si>
  <si>
    <t>dựa vào bảng, ước lượng (lưu ý: ước lượng nhưng cho ra số cụ thể, không điền điền đơn vị , đổi ra số, ví dụ 1 nghìn thì điền 1.000) để lập thành dạng bảng (lưu ý: tách ra theo sàn, bao gồm Tiktok, Shopee, Lazada, Tiki, và Tổng doanh số), theo thời gian chi tiết được cung cấp như trong hình</t>
  </si>
  <si>
    <t>Bảng Theo Dõi Tăng Trưởng Doanh Số Theo Tuần</t>
  </si>
  <si>
    <t>Tổng doanh số</t>
  </si>
  <si>
    <t>20/04 - 21/04</t>
  </si>
  <si>
    <t>06/05 - 12/05</t>
  </si>
  <si>
    <t>27/05 - 02/06</t>
  </si>
  <si>
    <t>17/06 - 23/06</t>
  </si>
  <si>
    <t>08/07 - 14/07</t>
  </si>
  <si>
    <t>29/07 - 04/08</t>
  </si>
  <si>
    <t>19/08 - 25/08</t>
  </si>
  <si>
    <t>09/09 - 15/09</t>
  </si>
  <si>
    <t>30/09 - 06/10</t>
  </si>
  <si>
    <t>21/10 - 27/10</t>
  </si>
  <si>
    <t>11/11 - 17/11</t>
  </si>
  <si>
    <t>02/12 - 08/12</t>
  </si>
  <si>
    <t>23/12 - 29/12</t>
  </si>
  <si>
    <t>13/01 - 19/01</t>
  </si>
  <si>
    <t>03/02 - 09/02</t>
  </si>
  <si>
    <t>24/02 - 02/03</t>
  </si>
  <si>
    <t>17/03 - 23/03</t>
  </si>
  <si>
    <t>07/04 - 13/04</t>
  </si>
  <si>
    <t>28/04 - 04/05</t>
  </si>
  <si>
    <t>19/05 - 25/05</t>
  </si>
  <si>
    <t>09/06 - 15/06</t>
  </si>
  <si>
    <t>30/06 - 06/07</t>
  </si>
  <si>
    <t>21/07 - 27/07</t>
  </si>
  <si>
    <t>11/08 - 17/08</t>
  </si>
  <si>
    <t>01/09 - 07/09</t>
  </si>
  <si>
    <t>22/09 - 28/09</t>
  </si>
  <si>
    <t>13/10 - 19/10</t>
  </si>
  <si>
    <t>03/11 - 09/11</t>
  </si>
  <si>
    <t>24/11 - 30/11</t>
  </si>
  <si>
    <t>15/12 - 21/12</t>
  </si>
  <si>
    <t>05/01 - 11/01</t>
  </si>
  <si>
    <t>26/01 - 01/02</t>
  </si>
  <si>
    <t>16/02 - 22/02</t>
  </si>
  <si>
    <t>09/03 - 15/03</t>
  </si>
  <si>
    <t>30/03 - 05/04</t>
  </si>
  <si>
    <t>20/04 - 20/04</t>
  </si>
  <si>
    <t>dựa vào bảng, ước lượng (lưu ý: ước lượng nhưng cho ra số cụ thể, không điền điền đơn vị , đổi ra số, ví dụ 1 nghìn thì điền 1.000) để lập thành dạng bảng gồm 6 cột bao gồm Ngành hàng, Shopee, Lazada, Tiki, Tiktok, và Tổng doanh số</t>
  </si>
  <si>
    <t xml:space="preserve">Bảng phân tích ngành hàng theo doanh số </t>
  </si>
  <si>
    <t>Ngành hàng</t>
  </si>
  <si>
    <t>TikTok</t>
  </si>
  <si>
    <t>Đồ uống</t>
  </si>
  <si>
    <t>Đồ chế biến sẵn, đồ khô</t>
  </si>
  <si>
    <t>Nhu yếu phẩm</t>
  </si>
  <si>
    <t>Đồ làm bánh</t>
  </si>
  <si>
    <t>Nguyên liệu nấu ăn</t>
  </si>
  <si>
    <t>Ngũ cốc &amp; mứt</t>
  </si>
  <si>
    <t>Bách hóa - Thực phẩm khác</t>
  </si>
  <si>
    <t>Đồ ăn vặt</t>
  </si>
  <si>
    <t>Sữa - trứng</t>
  </si>
  <si>
    <t>Bộ quà tặng</t>
  </si>
  <si>
    <t>Đồ uống có cồn</t>
  </si>
  <si>
    <t>Rau củ quả</t>
  </si>
  <si>
    <t>dựa vào bảng, ước lượng (lưu ý: ước lượng nhưng cho ra số cụ thể, không điền điền đơn vị , đổi ra số, ví dụ 1 nghìn thì điền 1.000) để lập thành dạng bảng gồm 6 cột bao gồm Mức giá, Shopee, Lazada, Tiki, Tiktok, và Tổng doanh số</t>
  </si>
  <si>
    <t xml:space="preserve">Bảng phân tích mức giá theo doanh số </t>
  </si>
  <si>
    <t>Mức giá</t>
  </si>
  <si>
    <t>Tổng</t>
  </si>
  <si>
    <t>&lt; 10.000đ</t>
  </si>
  <si>
    <t>10.000đ - 50.000đ</t>
  </si>
  <si>
    <t>50.000đ - 100.000đ</t>
  </si>
  <si>
    <t>100.000đ - 200.000đ</t>
  </si>
  <si>
    <t>200.000đ - 500.000đ</t>
  </si>
  <si>
    <t>500.000đ - 1.000.000đ</t>
  </si>
  <si>
    <t>1.000.000đ - 2.000.000đ</t>
  </si>
  <si>
    <t>2.000.000đ - 5.000.000đ</t>
  </si>
  <si>
    <t>&gt; 5.000.000đ</t>
  </si>
  <si>
    <t xml:space="preserve">Tổng </t>
  </si>
  <si>
    <t>Dựa vào hình lập thành bảng gồm 2 hàng: Nhóm thương hiệu và Tỷ trọng % (lưu ý: viết dưới dạng %, ví dụ 10%), và 3 hàng gồm Top 10 thương hiệu, Các thương hiệu khác, và Tổng cộng</t>
  </si>
  <si>
    <t>Nhóm thương hiệu</t>
  </si>
  <si>
    <t>Tỷ trọng %</t>
  </si>
  <si>
    <t>Top 10 thương hiệu</t>
  </si>
  <si>
    <t>Các thương hiệu khác</t>
  </si>
  <si>
    <t>Tổng cộng</t>
  </si>
  <si>
    <t>Top 10 thương hiệu theo Doanh số</t>
  </si>
  <si>
    <t>Thương hiệu</t>
  </si>
  <si>
    <t>Doanh số ước lượng</t>
  </si>
  <si>
    <t>Oreo</t>
  </si>
  <si>
    <t>Gery</t>
  </si>
  <si>
    <t>Cosy</t>
  </si>
  <si>
    <t>Choco-Pie</t>
  </si>
  <si>
    <t>AFC</t>
  </si>
  <si>
    <t>Danisa</t>
  </si>
  <si>
    <t>Richeese</t>
  </si>
  <si>
    <t>Tipo</t>
  </si>
  <si>
    <t>Lay's</t>
  </si>
  <si>
    <t>Kinh Đô</t>
  </si>
  <si>
    <t>Khác (Bao gồm phần còn lại)</t>
  </si>
  <si>
    <t>Mức độ tập trung thị trường (Chỉ số CR) - Thương hiệu</t>
  </si>
  <si>
    <t>CR3 (Tỷ trọng top 3 brand)</t>
  </si>
  <si>
    <t>CR5 (Tỷ trọng top 5 brand)</t>
  </si>
  <si>
    <t>Khoảng cách Leader (Market Gap) - Thương hiệu</t>
  </si>
  <si>
    <t>Khoảng cách Top 1 và Top 2</t>
  </si>
  <si>
    <t>Khoảng cách Top 2 và Top 3</t>
  </si>
  <si>
    <t>Dựa vào hình lập thành bảng gồm 2 hàng: Nhóm thương hiệu và Tỷ trọng % (lưu ý: viết dưới dạng %, ví dụ 10%), và 3 hàng gồm Top 10 gian hàng, Các gian hàng khác, và Tổng cộng</t>
  </si>
  <si>
    <t>Top 10 gian hàng</t>
  </si>
  <si>
    <t>48.76%</t>
  </si>
  <si>
    <t>Các gian hàng khác</t>
  </si>
  <si>
    <t>51.24%</t>
  </si>
  <si>
    <t>Top 10 gian hàng theo Doanh số</t>
  </si>
  <si>
    <t>Gian hàng</t>
  </si>
  <si>
    <t>Mondelēz Kinh Đô Official Store</t>
  </si>
  <si>
    <t>Bách Hóa Shopee</t>
  </si>
  <si>
    <t>Gery Official Store</t>
  </si>
  <si>
    <t>THTrueMILK Official Store</t>
  </si>
  <si>
    <t>Shopee Siêu Chợ Bách Hóa</t>
  </si>
  <si>
    <t>Tide &amp; Downy Official Store</t>
  </si>
  <si>
    <t>Oreo Official Store</t>
  </si>
  <si>
    <t>Lays Official Store</t>
  </si>
  <si>
    <t>Cosy Official Store</t>
  </si>
  <si>
    <t>Kinh Do Official Store</t>
  </si>
  <si>
    <t>Khác (Các gian hàng còn lại)</t>
  </si>
  <si>
    <t>Mức độ tập trung thị trường (Chỉ số CR) - Gian hàng</t>
  </si>
  <si>
    <t>Khoảng cách Leader (Market Gap) - Gian hàng</t>
  </si>
  <si>
    <t>Khoảng cách Top 2 và Nhóm dưới</t>
  </si>
  <si>
    <t xml:space="preserve">Dựa vào hình lập thành bảng gồm 3 hàng: Tên thương hiệu, Doanh số gian hàng Thường, và Doanh số gian hàng Mall (lưu ý: đổi ra số, ví dụ 1 nghìn thì điền 1.000), lưu ý phải có hàng Tổng cộng </t>
  </si>
  <si>
    <t>Top 10 thương hiệu theo kiểu gian hàng (Doanh số)</t>
  </si>
  <si>
    <t>Tên thương hiệu</t>
  </si>
  <si>
    <t>Doanh số gian hàng Thường</t>
  </si>
  <si>
    <t>Doanh số gian hàng Mall</t>
  </si>
  <si>
    <t>Laura Coffee</t>
  </si>
  <si>
    <t>Laura Sunshine</t>
  </si>
  <si>
    <t>Laura Nhật Kim Anh</t>
  </si>
  <si>
    <t>Laura</t>
  </si>
  <si>
    <t>Mộc Thảo An</t>
  </si>
  <si>
    <t>Tratosa</t>
  </si>
  <si>
    <t>Nescafe</t>
  </si>
  <si>
    <t>Nhật Kim..</t>
  </si>
  <si>
    <t>L'Angfar..</t>
  </si>
  <si>
    <t>Nam Dược..</t>
  </si>
  <si>
    <t>Dựa vào hình lập thành bảng gồm 2 cột: Kiểu gian hàng, và 3 hàng: Gian hàng chính hàng, Gian hàng thường, và Tổng cộng (Lưu ý: đơn vị %, ví dụ 10%)</t>
  </si>
  <si>
    <t>Kiểu gian hàng theo doanh số</t>
  </si>
  <si>
    <t>Kiểu gian hàng</t>
  </si>
  <si>
    <t>Gian hàng chính hãng</t>
  </si>
  <si>
    <t>Gian hàng thường</t>
  </si>
  <si>
    <t>Dựa vào hình lập thành bảng gồm 4 cột: Sàn TMĐT, Gian hàng Thường, Gian hàng Mall, và 5 hàng: Tiktok, Shopee, Lazada, Tiktok, và Tổng cộng (lưu ý: đổi ra số, ví dụ 1 nghìn thì điền 1.000)</t>
  </si>
  <si>
    <t>Sàn TMĐT</t>
  </si>
  <si>
    <t>Gian hàng Thường</t>
  </si>
  <si>
    <t>Gian hàng Mall</t>
  </si>
  <si>
    <t>Dựa vào hình lập thành bảng gồm 2 cột: Kho hàng và Tỷ trọng % (lưu ý: viết dưới dạng %, ví dụ 10%)</t>
  </si>
  <si>
    <t>Cơ cấu doanh số theo vị trí kho hàng (%)</t>
  </si>
  <si>
    <t>Kho hàng</t>
  </si>
  <si>
    <t>Tỷ trọng (%)</t>
  </si>
  <si>
    <t>Hà Nội</t>
  </si>
  <si>
    <t>TP. Hồ Chí Minh</t>
  </si>
  <si>
    <t>Thành phố Hà Nội</t>
  </si>
  <si>
    <t>Tiền Giang</t>
  </si>
  <si>
    <t>Thành phố Hồ Chí Minh</t>
  </si>
  <si>
    <t>Lâm Đồng</t>
  </si>
  <si>
    <t>Tỉnh Tây Ninh</t>
  </si>
  <si>
    <t>Đà Nẵng</t>
  </si>
  <si>
    <t>Tỉnh Đồng Nai</t>
  </si>
  <si>
    <t>Lai Châu</t>
  </si>
  <si>
    <t>Khác</t>
  </si>
  <si>
    <t>Lập bảng gồm 13 cột bao gồm: Tên sản phẩm, Gian hàng, Giá bán (VNĐ), Ngày tạo, Giá phân loại thấp nhất (VNĐ), Giá phân loại cao nhất (VNĐ), Doanh số (VNĐ) trong khoảng ngày đã chọn,  (nếu có, lưu ý: đơn vị %, ví dụ 10%, tăng thì đằng trước không để dấu còn giảm thì đằng trước để dấu trừ), Sản phẩm đã bán trong khoảng ngày đã chọn,  (nếu có, lưu ý: đơn vị %, ví dụ 10%, tăng thì đằng trước không để dấu còn giảm thì đằng trước để dấu trừ), Tổng doanh số, Tổng sản phẩm đã bán, và Ngành hàng. Lưu ý: (không điền điền đơn vị , đổi ra số, ví dụ 1 nghìn thì điền 1.000)</t>
  </si>
  <si>
    <t>Top sản phẩm bán chạy</t>
  </si>
  <si>
    <t>Tên sản phẩm</t>
  </si>
  <si>
    <t>Giá bán (VNĐ)</t>
  </si>
  <si>
    <t>Ngày tạo</t>
  </si>
  <si>
    <t>Giá phân loại thấp nhất (VNĐ)</t>
  </si>
  <si>
    <t>Giá phân loại cao nhất (VNĐ)</t>
  </si>
  <si>
    <t>Doanh số trong khoảng ngày đã chọn (VNĐ)</t>
  </si>
  <si>
    <t>% Thay đổi doanh số</t>
  </si>
  <si>
    <t>Sản phẩm đã bán trong khoảng ngày đã chọn</t>
  </si>
  <si>
    <t>% Thay đổi đã bán</t>
  </si>
  <si>
    <t>Tổng doanh số (VNĐ)</t>
  </si>
  <si>
    <t>Tổng sản phẩm đã bán</t>
  </si>
  <si>
    <t>2 Hộp Cà Phê Laura Nhật Kim Anh Linh Chi &amp; ĐT Hạ...</t>
  </si>
  <si>
    <t>Tiệm Nhà Việt Anh</t>
  </si>
  <si>
    <t>Bách Hoá - Thực Phẩm &gt; Đồ uống</t>
  </si>
  <si>
    <t>30 túi Trà Lá Ổi G.c Na Linh Mua 2 hộp tặng 1 Lá Ổi ,Lá...</t>
  </si>
  <si>
    <t>Na Linh bigsize 1</t>
  </si>
  <si>
    <t>ƯU ĐÃI 6 HỘP 2 VỊ KHÔNG KÈM QUÀ Cà Phê Laura Nh...</t>
  </si>
  <si>
    <t>4 hộp Cà phê Laura Nhật Kim Anh Linh Chi &amp; ĐT Hạ Thảo</t>
  </si>
  <si>
    <t>120 Túi Trà Lá Ổi G.c Na Linh Ngon - Thon Lành Mua 2...</t>
  </si>
  <si>
    <t>Cà Phê Mâm Xôi Đen Linh Chi giải độc gan Hiệu Quả cho...</t>
  </si>
  <si>
    <t>Gấu Cosmetic Gia dụng Châu Âu</t>
  </si>
  <si>
    <t>GIẢM GIÁ TỐT KHÔNG QUÀ 4 Hộp Cà Phê Laura Coffee...</t>
  </si>
  <si>
    <t>Shop Cà Phê Nhật Kim Anh</t>
  </si>
  <si>
    <t>MỚI MỘC THẢO AN 30 ngày 60 viên Kẹo- Thực Phẩm...</t>
  </si>
  <si>
    <t>Mộc Thảo An - Thảo Lê</t>
  </si>
  <si>
    <t>Bách Hoá - Thực Phẩm &gt; Đồ ăn vặt</t>
  </si>
  <si>
    <t>GIẢM GIÁ TỐT KHÔNG QUÀ 6 Hộp Cà Phê Laura Coffee...</t>
  </si>
  <si>
    <t>Combo 3 hộp THẢO DƯỢC TAN SỎI THẬN SỎI MẬT SỎI...</t>
  </si>
  <si>
    <t>Ngocquy</t>
  </si>
  <si>
    <t>Laura Coffee Combo 2 Hộp Mix Vị Nấm Linh Chi &amp; Đông...</t>
  </si>
  <si>
    <t>Tổng kho Laura Coffee</t>
  </si>
  <si>
    <t>6 Hộp 2 Vị Cafe Laura Nhật Kim Anh ĐT Hạ Thảo &amp; Linh...</t>
  </si>
  <si>
    <t>Cà Phê NKA Tiệm ChipChip</t>
  </si>
  <si>
    <t>QUÀ TẶNG 4Hộp Laura Cà Phê Nhật Kim Anh ĐT Hạ...</t>
  </si>
  <si>
    <t>Combo 2 HỘP Cà Phê vị Nấm Linh Chi - Đông Trùng Hạ...</t>
  </si>
  <si>
    <t>2 Hộp Cafe Nhật Kim Anh Laura Cà Phê Vị Đông Trùn...</t>
  </si>
  <si>
    <t>Mỹ Phẩm Laura Sunshine NKA.</t>
  </si>
  <si>
    <t xml:space="preserve">Lập bảng gồm 10 cột bao gồm: Hạng mới, Hạng cũ, Tên shop, Sàn, Số sản phẩm có lượt bán, Doanh số trong khoảng ngày đã chọn, Mức % tăng trưởng doanh số so với kỳ liền trước  (nếu có, lưu ý: đơn vị %, ví dụ 10%, tăng thì đằng trước không để dấu còn giảm thì đằng trước để dấu trừ), Lượt bán trong khoảng ngày đã chọn, Mức % tăng trưởng lượt bán so với kỳ liền trước (nếu có, lưu ý: đơn vị %, ví dụ 10%, tăng thì đằng trước không để dấu còn giảm thì đằng trước để dấu trừ), Tổng doanh số, và Tổng lượt bán                                                         </t>
  </si>
  <si>
    <t>Top gian hàng có sản phẩm bán chạy</t>
  </si>
  <si>
    <t>Hạng mới</t>
  </si>
  <si>
    <t>Hạng cũ</t>
  </si>
  <si>
    <t>Tên shop</t>
  </si>
  <si>
    <t>Sàn</t>
  </si>
  <si>
    <t>Số sản phẩm có lượt bán</t>
  </si>
  <si>
    <t>Mức % tăng trưởng doanh số</t>
  </si>
  <si>
    <t>Lượt bán trong khoảng ngày đã chọn</t>
  </si>
  <si>
    <t>Mức % tăng trưởng lượt bán</t>
  </si>
  <si>
    <t>Tổng lượt bán</t>
  </si>
  <si>
    <t>TikTok Shop</t>
  </si>
  <si>
    <t>Shop Hoàng Mỹ 77</t>
  </si>
  <si>
    <t>Cà Phê Laura Nhà Việt Anh</t>
  </si>
  <si>
    <t>Cà Phê Laura</t>
  </si>
  <si>
    <t>Lập bảng gồm 10 cột bao gồm: Hạng mới, Hạng cũ, Tên thương hiệu, Số sản phẩm có lượt bán, Doanh số trong khoảng ngày đã chọn, Mức % tăng trưởng doanh số so với kỳ liền trước (nếu có, lưu ý: đơn vị %, ví dụ 10%, tăng thì đằng trước không để dấu còn giảm thì đằng trước để dấu trừ), Lượt bán trong khoảng ngày đã chọn, Mức % tăng trưởng lượt bán so với kỳ liền trước  (nếu có, lưu ý: đơn vị %, ví dụ 10%, tăng thì đằng trước không để dấu còn giảm thì đằng trước để dấu trừ), Tổng doanh số, và Tổng lượt bán</t>
  </si>
  <si>
    <t>Top thương hiệu có sản phẩm bán chạy</t>
  </si>
  <si>
    <t>Phân khúc</t>
  </si>
  <si>
    <t>Doanh thu</t>
  </si>
  <si>
    <t>% sheet giá</t>
  </si>
  <si>
    <t>% tổng chính</t>
  </si>
  <si>
    <t>Sàn chính</t>
  </si>
  <si>
    <t>Phụ thuộc sàn</t>
  </si>
  <si>
    <t>77,42 tỷ đồng</t>
  </si>
  <si>
    <t>48,50%</t>
  </si>
  <si>
    <t>42,82%</t>
  </si>
  <si>
    <t>85,12%</t>
  </si>
  <si>
    <t>33,10 tỷ đồng</t>
  </si>
  <si>
    <t>20,74%</t>
  </si>
  <si>
    <t>18,31%</t>
  </si>
  <si>
    <t>79,15%</t>
  </si>
  <si>
    <t>32,77 tỷ đồng</t>
  </si>
  <si>
    <t>20,53%</t>
  </si>
  <si>
    <t>18,13%</t>
  </si>
  <si>
    <t>98,25%</t>
  </si>
  <si>
    <t>14,60 tỷ đồng</t>
  </si>
  <si>
    <t>9,15%</t>
  </si>
  <si>
    <t>8,08%</t>
  </si>
  <si>
    <t>60,96%</t>
  </si>
  <si>
    <t>0,98 tỷ đồng</t>
  </si>
  <si>
    <t>0,61%</t>
  </si>
  <si>
    <t>0,54%</t>
  </si>
  <si>
    <t>56,21%</t>
  </si>
  <si>
    <t>0,69 tỷ đồng</t>
  </si>
  <si>
    <t>0,43%</t>
  </si>
  <si>
    <t>0,38%</t>
  </si>
  <si>
    <t>80,12%</t>
  </si>
  <si>
    <t>0,05 tỷ đồng</t>
  </si>
  <si>
    <t>0,03%</t>
  </si>
  <si>
    <t>76,00%</t>
  </si>
  <si>
    <t>0,01 tỷ đồng</t>
  </si>
  <si>
    <t>0,01%</t>
  </si>
  <si>
    <t>70,00%</t>
  </si>
  <si>
    <t>0,00 tỷ đồng</t>
  </si>
  <si>
    <t>0,00%</t>
  </si>
  <si>
    <t>43,48%</t>
  </si>
  <si>
    <t>KẾT LUẬN</t>
  </si>
  <si>
    <t>Phân khúc 100.000–200.000 đồng tạo doanh thu cao nhất. Không thể kết luận đây là phân khúc có sản lượng cao nhất vì Metrics không cung cấp lượt bán theo mức giá.</t>
  </si>
  <si>
    <t xml:space="preserve">10-08-2024 đến 10-08-2026</t>
  </si>
  <si>
    <t xml:space="preserve">Sức Khoẻ</t>
  </si>
  <si>
    <t xml:space="preserve">canxi</t>
  </si>
  <si>
    <t xml:space="preserve">calcium</t>
  </si>
  <si>
    <t xml:space="preserve">Người bán</t>
  </si>
  <si>
    <t xml:space="preserve">Shop Chính hãng (Mall)</t>
  </si>
  <si>
    <t xml:space="preserve">Shop Thông thường</t>
  </si>
  <si>
    <t xml:space="preserve">Loại trừ</t>
  </si>
  <si>
    <t xml:space="preserve">ăn</t>
  </si>
  <si>
    <t xml:space="preserve">sữa</t>
  </si>
  <si>
    <t xml:space="preserve">Doanh số (VNĐ)</t>
  </si>
  <si>
    <t xml:space="preserve">2024-08-01 - 2024-08-31</t>
  </si>
  <si>
    <t xml:space="preserve">2024-09-01 - 2024-09-30</t>
  </si>
  <si>
    <t xml:space="preserve">2024-10-01 - 2024-10-31</t>
  </si>
  <si>
    <t xml:space="preserve">2024-11-01 - 2024-11-30</t>
  </si>
  <si>
    <t xml:space="preserve">2024-12-01 - 2024-12-31</t>
  </si>
  <si>
    <t xml:space="preserve">2025-01-01 - 2025-01-31</t>
  </si>
  <si>
    <t xml:space="preserve">2025-02-01 - 2025-02-28</t>
  </si>
  <si>
    <t xml:space="preserve">2025-03-01 - 2025-03-31</t>
  </si>
  <si>
    <t xml:space="preserve">2025-04-01 - 2025-04-30</t>
  </si>
  <si>
    <t xml:space="preserve">2025-05-01 - 2025-05-31</t>
  </si>
  <si>
    <t xml:space="preserve">2025-06-01 - 2025-06-30</t>
  </si>
  <si>
    <t xml:space="preserve">2025-07-01 - 2025-07-31</t>
  </si>
  <si>
    <t xml:space="preserve">2025-08-01 - 2025-08-31</t>
  </si>
  <si>
    <t xml:space="preserve">2025-09-01 - 2025-09-30</t>
  </si>
  <si>
    <t xml:space="preserve">2025-10-01 - 2025-10-31</t>
  </si>
  <si>
    <t xml:space="preserve">2025-11-01 - 2025-11-30</t>
  </si>
  <si>
    <t xml:space="preserve">2025-12-01 - 2025-12-31</t>
  </si>
  <si>
    <t xml:space="preserve">2026-01-01 - 2026-01-31</t>
  </si>
  <si>
    <t xml:space="preserve">2026-02-01 - 2026-02-28</t>
  </si>
  <si>
    <t xml:space="preserve">2026-03-01 - 2026-03-31</t>
  </si>
  <si>
    <t xml:space="preserve">2026-04-01 - 2026-04-30</t>
  </si>
  <si>
    <t xml:space="preserve">2026-05-01 - 2026-05-31</t>
  </si>
  <si>
    <t xml:space="preserve">Thực phẩm chức năng</t>
  </si>
  <si>
    <t xml:space="preserve">Chăm sóc sức khỏe</t>
  </si>
  <si>
    <t xml:space="preserve">Dinh dưỡng thể thao, protein</t>
  </si>
  <si>
    <t xml:space="preserve">Vật tư y tế</t>
  </si>
  <si>
    <t xml:space="preserve">Sức khỏe khác</t>
  </si>
  <si>
    <t xml:space="preserve">Sản phẩm hỗ trợ tình dục</t>
  </si>
  <si>
    <t xml:space="preserve">&lt; 10.000₫</t>
  </si>
  <si>
    <t xml:space="preserve">10.000₫ - 50.000₫</t>
  </si>
  <si>
    <t xml:space="preserve">50.000₫ - 100.000₫</t>
  </si>
  <si>
    <t xml:space="preserve">100.000₫ - 200.000₫</t>
  </si>
  <si>
    <t xml:space="preserve">200.000₫ - 500.000₫</t>
  </si>
  <si>
    <t xml:space="preserve">500.000₫ - 1.000.000₫</t>
  </si>
  <si>
    <t xml:space="preserve">1.000.000₫ - 2.000.000₫</t>
  </si>
  <si>
    <t xml:space="preserve">2.000.000₫ - 5.000.000₫</t>
  </si>
  <si>
    <t xml:space="preserve">&gt; 5.000.000₫</t>
  </si>
  <si>
    <t xml:space="preserve">Nhóm gian hàng</t>
  </si>
  <si>
    <t xml:space="preserve">Wonderplus</t>
  </si>
  <si>
    <t xml:space="preserve">Ecopex Natural</t>
  </si>
  <si>
    <t xml:space="preserve">Doppelherz</t>
  </si>
  <si>
    <t xml:space="preserve">Olive Pharma</t>
  </si>
  <si>
    <t xml:space="preserve">Olympian Labs</t>
  </si>
  <si>
    <t xml:space="preserve">Bestical</t>
  </si>
  <si>
    <t xml:space="preserve">Pharmaton</t>
  </si>
  <si>
    <t xml:space="preserve">Bio Island</t>
  </si>
  <si>
    <t xml:space="preserve">Nature'S Way</t>
  </si>
  <si>
    <t xml:space="preserve">Dhc</t>
  </si>
  <si>
    <t xml:space="preserve">Tp. Hồ Chí Minh</t>
  </si>
  <si>
    <t xml:space="preserve">Tây Ninh</t>
  </si>
  <si>
    <t xml:space="preserve">Đồng Nai</t>
  </si>
  <si>
    <t xml:space="preserve">Hải Phòng</t>
  </si>
  <si>
    <t xml:space="preserve">Bắc Ninh</t>
  </si>
  <si>
    <t xml:space="preserve">COMBO vitamin C + D Canxi Viên Nhai Bổ Sung Vitamin Wonderplus 60 viên hộp - Giúp Làn Da Rạng Rỡ - Tăng Cường Đề Kháng - Giúp Xương Chăc Khỏe</t>
  </si>
  <si>
    <t xml:space="preserve">WONDERPLUSVN</t>
  </si>
  <si>
    <t xml:space="preserve">Sức khỏe &gt; Thực phẩm bổ sung &gt; Thực phẩm bổ sung sức khỏe</t>
  </si>
  <si>
    <t xml:space="preserve">CANXI NANO D3 - Bổ Sung Canxi Hỗ Trợ Phát Triển Chiều Cao Giúp Xương Chắc Khỏe - Hộp 60V Cho 30 Ngày.. Các Bạn Đọc Kĩ Mô Tả Sản Phẩm Trước Khi Mua Nhé !!!</t>
  </si>
  <si>
    <t xml:space="preserve">Viên Nhai Bổ Sung Vitamin D + Canxi Wonderplus – Hỗ Trợ Phát Triển Chiều Cao Tuổi Dậy Thì Giúp Xương Chắc Khỏe – Phù Hợp Cho Trẻ Em &amp; Người Lớn Hộp 60 viên</t>
  </si>
  <si>
    <t xml:space="preserve">CANXI MAGIE ĐỨC CHÍNH HÃNG TPBVSK Doppelherz Magnesium+Calcium+D3 hộp 30 viên hỗ trợ bổ sung Magie Canxi D3 dành cho người lớn</t>
  </si>
  <si>
    <t xml:space="preserve">DrCung Store</t>
  </si>
  <si>
    <t xml:space="preserve">Viên uống Hỗ trợ bổ sung Canxi Bio Island Milk Calcium Bone Care xuất xứ từ ÚC hộp 150 viên.</t>
  </si>
  <si>
    <t xml:space="preserve">Siêu Thị Mẹ Akay</t>
  </si>
  <si>
    <t xml:space="preserve">Combo 3 Hộp Canxi PT Plus</t>
  </si>
  <si>
    <t xml:space="preserve">DSH BEAUTY</t>
  </si>
  <si>
    <t xml:space="preserve">Viên uống bổ sung Canxi phòng ngừa loãng xương Doppelherz Magnesium + Calcium + D3 Hộp 30 viên</t>
  </si>
  <si>
    <t xml:space="preserve">Doppelherz Vietnam</t>
  </si>
  <si>
    <t xml:space="preserve">Sức Khỏe &gt; Thực phẩm chức năng &gt; Hỗ trợ sức khỏe</t>
  </si>
  <si>
    <t xml:space="preserve">COMBO 4 Hộp VTM C+D+Canxi Viên Nhai Bổ Sung Vitamin Wonderplus 60 viên hộp - Giúp Làn Da Rạng Rỡ - Tăng Cường Đề Kháng - Giúp Xương Chăc Khỏe</t>
  </si>
  <si>
    <t xml:space="preserve">PREMIUM KOC CANXI AQUAMIN-F Tảo Biển Alpha Nature Hỗ trợ bổ sung canxi cho cơ thể hỗ trợ tăng chiều cao dành cho trẻ từ 7 tuổi người trưởng thành</t>
  </si>
  <si>
    <t xml:space="preserve">ALPHA NATURE VIETNAM</t>
  </si>
  <si>
    <t xml:space="preserve">TPBVSK Magnesium Calcium D3 - Bổ Sung Canxi Magie Vitamin D3 Hỗ Trợ Xương Chắc Khỏe Hộp 30 viên</t>
  </si>
  <si>
    <t xml:space="preserve">DrCung Healthcare</t>
  </si>
  <si>
    <t xml:space="preserve">Bột trắng răng than Ngọc Trai UMIHA 30g - Trắng răng với bột trắng răng thành phần Than hoạt tính Canxi Bột than tre</t>
  </si>
  <si>
    <t xml:space="preserve">UMIHA - Top 1 Body Care VN</t>
  </si>
  <si>
    <t xml:space="preserve">Sức Khỏe &gt; Chăm sóc cá nhân &gt; Vệ sinh răng miệng</t>
  </si>
  <si>
    <t xml:space="preserve">COMBO TRẢI NGHIỆM TPBVSK CANXI TẢO + DHA TRIO Nature's Way -Hỗ trợ bổ sung Canxi và Omega 3 dạng nhai cho các bé</t>
  </si>
  <si>
    <t xml:space="preserve">COMBO CHIỀU CAO 12-30 TUỔI Tăng Trưởng Chiều Cao GH Creation EX+ Kết Hợp Cùng Canxi Bone Care Bioisland</t>
  </si>
  <si>
    <t xml:space="preserve">GH Creation EX+ Store</t>
  </si>
  <si>
    <t xml:space="preserve">TPBVSK Combo 3 hộp Doppelherz Magnesium+Calcium+D3 hộp 30 viên hỗ trợ bổ sung Magie Canxi D3 dành cho người lớn</t>
  </si>
  <si>
    <t xml:space="preserve">Viên uống Canxi Hữu Cơ Mason Natural Calcium Citrate + D3 Bổ sung Canxi hữu cơ kết hợp vitamin D3 giúp xương chắc khỏe Phòng ngừa loãng xương Dễ hấp thu Nhập khẩu Mỹ hộp 60 viên dùng được 2 tháng</t>
  </si>
  <si>
    <t xml:space="preserve">Tiến Sĩ An Shop</t>
  </si>
  <si>
    <t xml:space="preserve">COMBO 2 LỌ Nature's Way Kids Smart Bursts Calcium With Magnesium + Zin C Lọ 30 viên Hỗ trợ bổ sung canxi tổ ong tảo biển đỏ Magie ZinC D3K2 dành cho trẻ</t>
  </si>
  <si>
    <t xml:space="preserve">Canxi Tảo biển Dạng siro sinh học hữu cơ dạng ống nước hỗ trợ xương và răng chắc khỏe- hộp 20 ống calicium canxi d3</t>
  </si>
  <si>
    <t xml:space="preserve">Khoẻ Đẹp cùng DS Lan</t>
  </si>
  <si>
    <t xml:space="preserve">1 hộp 100 viên Canxi Magie Hữu Cơ Mỹ Green Calcium D3K2+Magnesium Hỗ trợ xương răng chắc khỏe giúp giảm nguy cơ loãng xương</t>
  </si>
  <si>
    <t xml:space="preserve">Bác Chường Store</t>
  </si>
  <si>
    <t xml:space="preserve">Viên uống Vitamin Canxi BioIsland Milk Calcium Bone Care tăng cường canxi cho mẹ bầu 150 viên của Úc</t>
  </si>
  <si>
    <t xml:space="preserve">Kiukids Store</t>
  </si>
  <si>
    <t xml:space="preserve">Sức khỏe &gt; Thực phẩm bổ sung &gt; Thực phẩm chăm sóc sắc đẹp</t>
  </si>
  <si>
    <t xml:space="preserve">TPBVSK Combo 2 hộp Doppelherz Magnesium+Calcium+D3 Hộp 30 viên Hỗ trợ bổ sung Canxi D3 Magie cho người lớn</t>
  </si>
  <si>
    <t xml:space="preserve">Doanh số trong khoảng ngày đã chọn</t>
  </si>
  <si>
    <t xml:space="preserve">Opella Việt Nam</t>
  </si>
  <si>
    <t xml:space="preserve">Canxi Sinh Học Bestical</t>
  </si>
  <si>
    <t xml:space="preserve">Viện Sức Khoẻ Olive Pharma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</si>
</sst>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mm/yyyy"/>
    <numFmt numFmtId="165" formatCode="m/yyyy"/>
    <numFmt numFmtId="166" formatCode="yyyy-mm-dd"/>
  </numFmts>
  <fonts>
    <font>
      <sz val="10"/>
      <color rgb="FF000000"/>
      <name val="Arial"/>
      <scheme val="minor"/>
    </font>
    <font>
      <sz val="12"/>
      <color theme="1"/>
      <name val="Be Vietnam Pro"/>
    </font>
    <font>
      <sz val="12"/>
      <color rgb="FF1F1F1F"/>
      <name val="Be Vietnam Pro"/>
    </font>
    <font>
      <sz val="10"/>
      <color rgb="FF1F1F1F"/>
      <name val="&quot;Google Sans Text&quot;"/>
    </font>
    <font>
      <b/>
      <sz val="10"/>
      <color rgb="FF1F1F1F"/>
      <name val="&quot;Google Sans Text&quot;"/>
    </font>
    <font>
      <sz val="11"/>
      <color rgb="FF000000"/>
      <name val="&quot;Google Sans Text&quot;"/>
    </font>
    <font>
      <b/>
      <sz val="12"/>
      <color theme="1"/>
      <name val="Be Vietnam Pro"/>
    </font>
    <font>
      <b/>
      <sz val="12"/>
      <color rgb="FF1F1F1F"/>
      <name val="Be Vietnam Pro"/>
    </font>
    <font>
      <sz val="9.5"/>
      <color rgb="FF1F1F1F"/>
      <name val="Arial"/>
      <family val="2"/>
    </font>
    <font>
      <b/>
      <sz val="7.5"/>
      <color rgb="FFFFFFFF"/>
      <name val="Times New Roman"/>
      <family val="1"/>
    </font>
    <font>
      <sz val="7.5"/>
      <color rgb="FF1F1F1F"/>
      <name val="Times New Roman"/>
      <family val="1"/>
    </font>
    <font>
      <b/>
      <sz val="9"/>
      <color rgb="FF1F1F1F"/>
      <name val="Times New Roman"/>
      <family val="1"/>
    </font>
    <font>
      <sz val="9"/>
      <color rgb="FF1F1F1F"/>
      <name val="Times New Roman"/>
      <family val="1"/>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b/>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b/>
      <sz val="12"/>
      <color rgb="FF1F1F1F"/>
      <name val="Be Vietnam Pro"/>
    </font>
    <font>
      <sz val="12"/>
      <color rgb="FF1F1F1F"/>
      <name val="Be Vietnam Pro"/>
    </font>
    <font>
      <sz val="12"/>
      <color rgb="FF1F1F1F"/>
      <name val="Be Vietnam Pro"/>
    </font>
    <font>
      <b/>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b/>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b/>
      <sz val="12"/>
      <color rgb="FF1F1F1F"/>
      <name val="Be Vietnam Pro"/>
    </font>
    <font>
      <sz val="12"/>
      <color rgb="FF1F1F1F"/>
      <name val="Be Vietnam Pro"/>
    </font>
    <font>
      <sz val="12"/>
      <color rgb="FF1F1F1F"/>
      <name val="Be Vietnam Pro"/>
    </font>
    <font>
      <b/>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b/>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b/>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b/>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rgb="FF1F1F1F"/>
      <name val="Be Vietnam Pro"/>
    </font>
    <font>
      <sz val="12"/>
      <color theme="1"/>
      <name val="Be Vietnam Pro"/>
    </font>
    <font>
      <sz val="12"/>
      <color theme="1"/>
      <name val="Be Vietnam Pro"/>
    </font>
    <font>
      <sz val="12"/>
      <color theme="1"/>
      <name val="Be Vietnam Pro"/>
    </font>
  </fonts>
  <fills>
    <fill>
      <patternFill patternType="none"/>
    </fill>
    <fill>
      <patternFill patternType="gray125"/>
    </fill>
    <fill>
      <patternFill patternType="solid">
        <fgColor rgb="FF1F4E78"/>
        <bgColor indexed="64"/>
      </patternFill>
    </fill>
    <fill>
      <patternFill patternType="solid">
        <fgColor rgb="FFF7FAFC"/>
        <bgColor indexed="64"/>
      </patternFill>
    </fill>
    <fill>
      <patternFill patternType="solid">
        <fgColor rgb="FFD9EAF7"/>
        <bgColor indexed="64"/>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style="thin">
        <color rgb="FFC4C7C5"/>
      </left>
      <right style="thin">
        <color rgb="FFC4C7C5"/>
      </right>
      <top style="thin">
        <color rgb="FFC4C7C5"/>
      </top>
      <bottom style="thin">
        <color rgb="FFC4C7C5"/>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7C5"/>
      </left>
      <right style="thin">
        <color rgb="FFC4C7C5"/>
      </right>
      <top style="thin">
        <color rgb="FFC4C7C5"/>
      </top>
      <bottom style="thin">
        <color rgb="FFC4C7C5"/>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numFmtId="0" fontId="1" fillId="0" borderId="0" xfId="0" applyFont="1" applyAlignment="1">
      <alignment vertical="center" wrapText="1"/>
    </xf>
    <xf numFmtId="0" fontId="1" fillId="0" borderId="0" xfId="0" applyFont="1"/>
    <xf numFmtId="0" fontId="2" fillId="0" borderId="0" xfId="0" applyFont="1" applyAlignment="1">
      <alignment wrapText="1"/>
    </xf>
    <xf numFmtId="0" fontId="1" fillId="0" borderId="0" xfId="0" applyFont="1" applyAlignment="1">
      <alignment wrapText="1"/>
    </xf>
    <xf numFmtId="0" fontId="3" fillId="0" borderId="0" xfId="0" applyFont="1"/>
    <xf numFmtId="0" fontId="4" fillId="0" borderId="0" xfId="0" applyFont="1"/>
    <xf numFmtId="0" fontId="5" fillId="0" borderId="0" xfId="0" applyFont="1"/>
    <xf numFmtId="0" fontId="2" fillId="0" borderId="0" xfId="0" applyFont="1"/>
    <xf numFmtId="0" fontId="6" fillId="0" borderId="0" xfId="0" applyFont="1" applyAlignment="1">
      <alignment vertical="center" wrapText="1"/>
    </xf>
    <xf numFmtId="3" fontId="7" fillId="0" borderId="0" xfId="0" applyNumberFormat="1" applyFont="1"/>
    <xf numFmtId="3" fontId="2" fillId="0" borderId="0" xfId="0" applyNumberFormat="1" applyFont="1"/>
    <xf numFmtId="9" fontId="2" fillId="0" borderId="0" xfId="0" applyNumberFormat="1" applyFont="1"/>
    <xf numFmtId="3" fontId="1" fillId="0" borderId="0" xfId="0" applyNumberFormat="1" applyFont="1" applyAlignment="1">
      <alignment horizontal="right" vertical="center" wrapText="1"/>
    </xf>
    <xf numFmtId="0" fontId="7" fillId="0" borderId="0" xfId="0" applyFont="1"/>
    <xf numFmtId="9" fontId="1" fillId="0" borderId="0" xfId="0" applyNumberFormat="1" applyFont="1" applyAlignment="1">
      <alignment horizontal="right" vertical="center" wrapText="1"/>
    </xf>
    <xf numFmtId="10" fontId="1" fillId="0" borderId="0" xfId="0" applyNumberFormat="1" applyFont="1" applyAlignment="1">
      <alignment horizontal="right" vertical="center" wrapText="1"/>
    </xf>
    <xf numFmtId="0" fontId="6" fillId="0" borderId="0" xfId="0" applyFont="1" applyAlignment="1">
      <alignment horizontal="center" vertical="center" wrapText="1"/>
    </xf>
    <xf numFmtId="0" fontId="6" fillId="0" borderId="0" xfId="0" applyFont="1" applyAlignment="1">
      <alignment horizontal="right" vertical="center" wrapText="1"/>
    </xf>
    <xf numFmtId="3" fontId="1" fillId="0" borderId="0" xfId="0" applyNumberFormat="1" applyFont="1" applyAlignment="1">
      <alignment horizontal="left" vertical="center" wrapText="1"/>
    </xf>
    <xf numFmtId="9" fontId="1" fillId="0" borderId="0" xfId="0" applyNumberFormat="1" applyFont="1" applyAlignment="1">
      <alignment vertical="center" wrapText="1"/>
    </xf>
    <xf numFmtId="0" fontId="1" fillId="0" borderId="0" xfId="0" applyFont="1" applyAlignment="1">
      <alignment horizontal="left" vertical="center" wrapText="1"/>
    </xf>
    <xf numFmtId="4" fontId="1" fillId="0" borderId="0" xfId="0" applyNumberFormat="1" applyFont="1" applyAlignment="1">
      <alignment vertical="center" wrapText="1"/>
    </xf>
    <xf numFmtId="10" fontId="1" fillId="0" borderId="0" xfId="0" applyNumberFormat="1" applyFont="1" applyAlignment="1">
      <alignment vertical="center" wrapText="1"/>
    </xf>
    <xf numFmtId="4" fontId="1" fillId="0" borderId="0" xfId="0" applyNumberFormat="1" applyFont="1" applyAlignment="1">
      <alignment horizontal="right" vertical="center" wrapText="1"/>
    </xf>
    <xf numFmtId="10" fontId="2" fillId="0" borderId="0" xfId="0" applyNumberFormat="1" applyFont="1" applyAlignment="1">
      <alignment horizontal="right"/>
    </xf>
    <xf numFmtId="3" fontId="1" fillId="0" borderId="0" xfId="0" applyNumberFormat="1" applyFont="1" applyAlignment="1">
      <alignment horizontal="right" wrapText="1"/>
    </xf>
    <xf numFmtId="10" fontId="1" fillId="0" borderId="0" xfId="0" applyNumberFormat="1" applyFont="1" applyAlignment="1">
      <alignment horizontal="right" wrapText="1"/>
    </xf>
    <xf numFmtId="0" fontId="6" fillId="0" borderId="0" xfId="0" applyFont="1" applyAlignment="1">
      <alignment wrapText="1"/>
    </xf>
    <xf numFmtId="3" fontId="6" fillId="0" borderId="0" xfId="0" applyNumberFormat="1" applyFont="1" applyAlignment="1">
      <alignment horizontal="right" wrapText="1"/>
    </xf>
    <xf numFmtId="10" fontId="6" fillId="0" borderId="0" xfId="0" applyNumberFormat="1" applyFont="1" applyAlignment="1">
      <alignment horizontal="right" wrapText="1"/>
    </xf>
    <xf numFmtId="0" fontId="7" fillId="0" borderId="0" xfId="0" applyFont="1" applyAlignment="1">
      <alignment wrapText="1"/>
    </xf>
    <xf numFmtId="10" fontId="7" fillId="0" borderId="0" xfId="0" applyNumberFormat="1" applyFont="1" applyAlignment="1">
      <alignment horizontal="right" wrapText="1"/>
    </xf>
    <xf numFmtId="10" fontId="2" fillId="0" borderId="0" xfId="0" applyNumberFormat="1" applyFont="1" applyAlignment="1">
      <alignment horizontal="right" wrapText="1"/>
    </xf>
    <xf numFmtId="0" fontId="1" fillId="0" borderId="0" xfId="0" applyFont="1" applyAlignment="1">
      <alignment horizontal="center" vertical="center" wrapText="1"/>
    </xf>
    <xf numFmtId="0" fontId="6" fillId="0" borderId="0" xfId="0" applyFont="1" applyAlignment="1">
      <alignment horizontal="center"/>
    </xf>
    <xf numFmtId="3" fontId="1" fillId="0" borderId="0" xfId="0" applyNumberFormat="1" applyFont="1" applyAlignment="1">
      <alignment horizontal="right"/>
    </xf>
    <xf numFmtId="3" fontId="1" fillId="0" borderId="0" xfId="0" applyNumberFormat="1" applyFont="1"/>
    <xf numFmtId="10" fontId="1" fillId="0" borderId="0" xfId="0" applyNumberFormat="1" applyFont="1" applyAlignment="1">
      <alignment horizontal="right"/>
    </xf>
    <xf numFmtId="0" fontId="6" fillId="0" borderId="0" xfId="0" applyFont="1" applyAlignment="1">
      <alignment horizontal="right"/>
    </xf>
    <xf numFmtId="0" fontId="1" fillId="0" borderId="0" xfId="0" applyFont="1" applyAlignment="1">
      <alignment horizontal="right"/>
    </xf>
    <xf numFmtId="0" fontId="1" fillId="0" borderId="0" xfId="0" applyFont="1" applyAlignment="1">
      <alignment horizontal="right" wrapText="1"/>
    </xf>
    <xf numFmtId="10" fontId="1" fillId="0" borderId="0" xfId="0" applyNumberFormat="1" applyFont="1" applyAlignment="1">
      <alignment wrapText="1"/>
    </xf>
    <xf numFmtId="10" fontId="2" fillId="0" borderId="0" xfId="0" applyNumberFormat="1" applyFont="1"/>
    <xf numFmtId="10" fontId="7" fillId="0" borderId="0" xfId="0" applyNumberFormat="1" applyFont="1"/>
    <xf numFmtId="9" fontId="7" fillId="0" borderId="0" xfId="0" applyNumberFormat="1" applyFont="1"/>
    <xf numFmtId="10" fontId="1" fillId="0" borderId="0" xfId="0" applyNumberFormat="1" applyFont="1"/>
    <xf numFmtId="4" fontId="1" fillId="0" borderId="0" xfId="0" applyNumberFormat="1" applyFont="1"/>
    <xf numFmtId="0" fontId="1" fillId="0" borderId="0" xfId="0" applyFont="1" applyAlignment="1">
      <alignment horizontal="right" vertical="center" wrapText="1"/>
    </xf>
    <xf numFmtId="0" fontId="1"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right" vertical="center"/>
    </xf>
    <xf numFmtId="10" fontId="1" fillId="0" borderId="0" xfId="0" applyNumberFormat="1" applyFont="1" applyAlignment="1">
      <alignment horizontal="right" vertical="center"/>
    </xf>
    <xf numFmtId="10" fontId="3" fillId="0" borderId="0" xfId="0" applyNumberFormat="1" applyFont="1"/>
    <xf numFmtId="10" fontId="1" fillId="0" borderId="0" xfId="0" applyNumberFormat="1" applyFont="1" applyAlignment="1">
      <alignment vertical="center"/>
    </xf>
    <xf numFmtId="9" fontId="1" fillId="0" borderId="0" xfId="0" applyNumberFormat="1" applyFont="1" applyAlignment="1">
      <alignment vertical="center"/>
    </xf>
    <xf numFmtId="0" fontId="7" fillId="0" borderId="0" xfId="0" applyFont="1" applyAlignment="1">
      <alignment horizontal="center" vertical="center" wrapText="1"/>
    </xf>
    <xf numFmtId="3" fontId="2" fillId="0" borderId="0" xfId="0" applyNumberFormat="1" applyFont="1" applyAlignment="1">
      <alignment wrapText="1"/>
    </xf>
    <xf numFmtId="164" fontId="2" fillId="0" borderId="0" xfId="0" applyNumberFormat="1" applyFont="1" applyAlignment="1">
      <alignment wrapText="1"/>
    </xf>
    <xf numFmtId="9" fontId="2" fillId="0" borderId="0" xfId="0" applyNumberFormat="1" applyFont="1" applyAlignment="1">
      <alignment wrapText="1"/>
    </xf>
    <xf numFmtId="0" fontId="2" fillId="0" borderId="1" xfId="0" applyFont="1" applyBorder="1" applyAlignment="1">
      <alignment wrapText="1"/>
    </xf>
    <xf numFmtId="9" fontId="2" fillId="0" borderId="1" xfId="0" applyNumberFormat="1" applyFont="1" applyBorder="1" applyAlignment="1">
      <alignment wrapText="1"/>
    </xf>
    <xf numFmtId="164" fontId="2" fillId="0" borderId="1" xfId="0" applyNumberFormat="1" applyFont="1" applyBorder="1" applyAlignment="1">
      <alignment wrapText="1"/>
    </xf>
    <xf numFmtId="165" fontId="2" fillId="0" borderId="0" xfId="0" applyNumberFormat="1" applyFont="1" applyAlignment="1">
      <alignment wrapText="1"/>
    </xf>
    <xf numFmtId="3" fontId="1" fillId="0" borderId="0" xfId="0" applyNumberFormat="1" applyFont="1" applyAlignment="1">
      <alignment vertical="center"/>
    </xf>
    <xf numFmtId="3" fontId="1" fillId="0" borderId="0" xfId="0" applyNumberFormat="1" applyFont="1" applyAlignment="1">
      <alignment horizontal="right" vertical="center"/>
    </xf>
    <xf numFmtId="0" fontId="2" fillId="0" borderId="0" xfId="0" applyFont="1" applyAlignment="1">
      <alignment vertical="center" wrapText="1"/>
    </xf>
    <xf numFmtId="3" fontId="2" fillId="0" borderId="0" xfId="0" applyNumberFormat="1" applyFont="1" applyAlignment="1">
      <alignment vertical="center" wrapText="1"/>
    </xf>
    <xf numFmtId="9" fontId="2" fillId="0" borderId="0" xfId="0" applyNumberFormat="1" applyFont="1" applyAlignment="1">
      <alignment vertical="center" wrapText="1"/>
    </xf>
    <xf numFmtId="9" fontId="2" fillId="0" borderId="1" xfId="0" applyNumberFormat="1" applyFont="1" applyBorder="1" applyAlignment="1">
      <alignment vertical="center" wrapText="1"/>
    </xf>
    <xf numFmtId="3" fontId="2" fillId="0" borderId="1" xfId="0" applyNumberFormat="1" applyFont="1" applyBorder="1" applyAlignment="1">
      <alignment vertical="center" wrapText="1"/>
    </xf>
    <xf numFmtId="9" fontId="2" fillId="0" borderId="1" xfId="0" applyNumberFormat="1" applyFont="1" applyBorder="1"/>
    <xf numFmtId="0" fontId="1" fillId="0" borderId="0" xfId="0" applyFont="1" applyAlignment="1">
      <alignment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center" wrapText="1"/>
    </xf>
    <xf numFmtId="0" fontId="6" fillId="0" borderId="0" xfId="0" applyFont="1" applyAlignment="1">
      <alignment horizontal="center"/>
    </xf>
    <xf numFmtId="0" fontId="6" fillId="0" borderId="0" xfId="0" applyFont="1"/>
    <xf numFmtId="0" fontId="6" fillId="0" borderId="0" xfId="0" applyFont="1" applyAlignment="1">
      <alignment horizontal="center" vertical="center"/>
    </xf>
    <xf numFmtId="0" fontId="9" fillId="2" borderId="2" xfId="0" applyFont="1" applyFill="1" applyBorder="1" applyAlignment="1">
      <alignment horizontal="justify" vertical="center" wrapText="1"/>
    </xf>
    <xf numFmtId="0" fontId="9" fillId="2" borderId="3" xfId="0" applyFont="1" applyFill="1" applyBorder="1" applyAlignment="1">
      <alignment horizontal="justify" vertical="center" wrapText="1"/>
    </xf>
    <xf numFmtId="0" fontId="10" fillId="0" borderId="5" xfId="0" applyFont="1" applyBorder="1" applyAlignment="1">
      <alignment horizontal="justify" vertical="center" wrapText="1"/>
    </xf>
    <xf numFmtId="0" fontId="10" fillId="0" borderId="6" xfId="0" applyFont="1" applyBorder="1" applyAlignment="1">
      <alignment horizontal="justify" vertical="center" wrapText="1"/>
    </xf>
    <xf numFmtId="0" fontId="10" fillId="3" borderId="5" xfId="0" applyFont="1" applyFill="1" applyBorder="1" applyAlignment="1">
      <alignment horizontal="justify" vertical="center" wrapText="1"/>
    </xf>
    <xf numFmtId="0" fontId="10" fillId="3" borderId="6" xfId="0" applyFont="1" applyFill="1" applyBorder="1" applyAlignment="1">
      <alignment horizontal="justify" vertical="center" wrapText="1"/>
    </xf>
    <xf numFmtId="0" fontId="8" fillId="0" borderId="0" xfId="0" applyFont="1" applyAlignment="1">
      <alignment vertical="center" wrapText="1"/>
    </xf>
    <xf numFmtId="0" fontId="9" fillId="2" borderId="7" xfId="0" applyFont="1" applyFill="1" applyBorder="1" applyAlignment="1">
      <alignment horizontal="justify" vertical="center" wrapText="1"/>
    </xf>
    <xf numFmtId="0" fontId="9" fillId="2" borderId="3" xfId="0" applyFont="1" applyFill="1" applyBorder="1" applyAlignment="1">
      <alignment horizontal="justify" vertical="center" wrapText="1"/>
    </xf>
    <xf numFmtId="0" fontId="10" fillId="0" borderId="7" xfId="0" applyFont="1" applyBorder="1" applyAlignment="1">
      <alignment horizontal="justify" vertical="center" wrapText="1"/>
    </xf>
    <xf numFmtId="0" fontId="10" fillId="0" borderId="3" xfId="0" applyFont="1" applyBorder="1" applyAlignment="1">
      <alignment horizontal="justify" vertical="center" wrapText="1"/>
    </xf>
    <xf numFmtId="0" fontId="10" fillId="3" borderId="7" xfId="0" applyFont="1" applyFill="1" applyBorder="1" applyAlignment="1">
      <alignment horizontal="justify" vertical="center" wrapText="1"/>
    </xf>
    <xf numFmtId="0" fontId="10" fillId="3" borderId="3" xfId="0" applyFont="1" applyFill="1" applyBorder="1" applyAlignment="1">
      <alignment horizontal="justify" vertical="center" wrapText="1"/>
    </xf>
    <xf numFmtId="0" fontId="11" fillId="4" borderId="7" xfId="0" applyFont="1" applyFill="1" applyBorder="1" applyAlignment="1">
      <alignment horizontal="justify" vertical="center" wrapText="1"/>
    </xf>
    <xf numFmtId="0" fontId="11" fillId="4" borderId="3" xfId="0" applyFont="1" applyFill="1" applyBorder="1" applyAlignment="1">
      <alignment horizontal="justify" vertical="center" wrapText="1"/>
    </xf>
    <xf numFmtId="0" fontId="12" fillId="0" borderId="7" xfId="0" applyFont="1" applyBorder="1" applyAlignment="1">
      <alignment horizontal="justify" vertical="center" wrapText="1"/>
    </xf>
    <xf numFmtId="0" fontId="12" fillId="0" borderId="4" xfId="0" applyFont="1" applyBorder="1" applyAlignment="1">
      <alignment horizontal="justify" vertical="center" wrapText="1"/>
    </xf>
    <xf numFmtId="0" fontId="12" fillId="0" borderId="3" xfId="0" applyFont="1" applyBorder="1" applyAlignment="1">
      <alignment horizontal="justify" vertical="center" wrapText="1"/>
    </xf>
    <xf numFmtId="3" fontId="13" fillId="5" borderId="8" xfId="0" applyNumberFormat="1" applyFont="1" applyFill="1" applyBorder="1"/>
    <xf numFmtId="3" fontId="14" fillId="6" borderId="9" xfId="0" applyNumberFormat="1" applyFont="1" applyFill="1" applyBorder="1"/>
    <xf numFmtId="3" fontId="15" fillId="7" borderId="10" xfId="0" applyNumberFormat="1" applyFont="1" applyFill="1" applyBorder="1"/>
    <xf numFmtId="3" fontId="16" fillId="8" borderId="11" xfId="0" applyNumberFormat="1" applyFont="1" applyFill="1" applyBorder="1"/>
    <xf numFmtId="10" fontId="17" fillId="9" borderId="12" xfId="0" applyNumberFormat="1" applyFont="1" applyFill="1" applyBorder="1"/>
    <xf numFmtId="10" fontId="18" fillId="10" borderId="13" xfId="0" applyNumberFormat="1" applyFont="1" applyFill="1" applyBorder="1"/>
    <xf numFmtId="10" fontId="19" fillId="11" borderId="14" xfId="0" applyNumberFormat="1" applyFont="1" applyFill="1" applyBorder="1"/>
    <xf numFmtId="10" fontId="20" fillId="12" borderId="15" xfId="0" applyNumberFormat="1" applyFont="1" applyFill="1" applyBorder="1"/>
    <xf numFmtId="3" fontId="21" fillId="13" borderId="16" xfId="0" applyNumberFormat="1" applyFont="1" applyFill="1" applyBorder="1"/>
    <xf numFmtId="3" fontId="22" fillId="14" borderId="17" xfId="0" applyNumberFormat="1" applyFont="1" applyFill="1" applyBorder="1"/>
    <xf numFmtId="3" fontId="23" fillId="15" borderId="18" xfId="0" applyNumberFormat="1" applyFont="1" applyFill="1" applyBorder="1"/>
    <xf numFmtId="10" fontId="24" fillId="16" borderId="19" xfId="0" applyNumberFormat="1" applyFont="1" applyAlignment="1" applyFill="1" applyBorder="1">
      <alignment horizontal="right"/>
    </xf>
    <xf numFmtId="10" fontId="25" fillId="17" borderId="20" xfId="0" applyNumberFormat="1" applyFont="1" applyAlignment="1" applyFill="1" applyBorder="1">
      <alignment horizontal="right"/>
    </xf>
    <xf numFmtId="10" fontId="26" fillId="18" borderId="21" xfId="0" applyNumberFormat="1" applyFont="1" applyAlignment="1" applyFill="1" applyBorder="1">
      <alignment horizontal="right"/>
    </xf>
    <xf numFmtId="3" fontId="27" fillId="19" borderId="22" xfId="0" applyNumberFormat="1" applyFont="1" applyFill="1" applyBorder="1"/>
    <xf numFmtId="3" fontId="28" fillId="20" borderId="23" xfId="0" applyNumberFormat="1" applyFont="1" applyFill="1" applyBorder="1"/>
    <xf numFmtId="3" fontId="29" fillId="21" borderId="24" xfId="0" applyNumberFormat="1" applyFont="1" applyFill="1" applyBorder="1"/>
    <xf numFmtId="3" fontId="30" fillId="22" borderId="25" xfId="0" applyNumberFormat="1" applyFont="1" applyFill="1" applyBorder="1"/>
    <xf numFmtId="3" fontId="31" fillId="23" borderId="26" xfId="0" applyNumberFormat="1" applyFont="1" applyFill="1" applyBorder="1"/>
    <xf numFmtId="3" fontId="32" fillId="24" borderId="27" xfId="0" applyNumberFormat="1" applyFont="1" applyFill="1" applyBorder="1"/>
    <xf numFmtId="3" fontId="33" fillId="25" borderId="28" xfId="0" applyNumberFormat="1" applyFont="1" applyFill="1" applyBorder="1"/>
    <xf numFmtId="3" fontId="34" fillId="26" borderId="29" xfId="0" applyNumberFormat="1" applyFont="1" applyFill="1" applyBorder="1"/>
    <xf numFmtId="3" fontId="35" fillId="27" borderId="30" xfId="0" applyNumberFormat="1" applyFont="1" applyFill="1" applyBorder="1"/>
    <xf numFmtId="3" fontId="36" fillId="28" borderId="31" xfId="0" applyNumberFormat="1" applyFont="1" applyFill="1" applyBorder="1"/>
    <xf numFmtId="3" fontId="37" fillId="29" borderId="32" xfId="0" applyNumberFormat="1" applyFont="1" applyFill="1" applyBorder="1"/>
    <xf numFmtId="3" fontId="38" fillId="30" borderId="33" xfId="0" applyNumberFormat="1" applyFont="1" applyFill="1" applyBorder="1"/>
    <xf numFmtId="3" fontId="39" fillId="31" borderId="34" xfId="0" applyNumberFormat="1" applyFont="1" applyFill="1" applyBorder="1"/>
    <xf numFmtId="3" fontId="40" fillId="32" borderId="35" xfId="0" applyNumberFormat="1" applyFont="1" applyFill="1" applyBorder="1"/>
    <xf numFmtId="3" fontId="41" fillId="33" borderId="36" xfId="0" applyNumberFormat="1" applyFont="1" applyFill="1" applyBorder="1"/>
    <xf numFmtId="3" fontId="42" fillId="34" borderId="37" xfId="0" applyNumberFormat="1" applyFont="1" applyFill="1" applyBorder="1"/>
    <xf numFmtId="3" fontId="43" fillId="35" borderId="38" xfId="0" applyNumberFormat="1" applyFont="1" applyFill="1" applyBorder="1"/>
    <xf numFmtId="3" fontId="44" fillId="36" borderId="39" xfId="0" applyNumberFormat="1" applyFont="1" applyFill="1" applyBorder="1"/>
    <xf numFmtId="3" fontId="45" fillId="37" borderId="40" xfId="0" applyNumberFormat="1" applyFont="1" applyFill="1" applyBorder="1"/>
    <xf numFmtId="3" fontId="46" fillId="38" borderId="41" xfId="0" applyNumberFormat="1" applyFont="1" applyFill="1" applyBorder="1"/>
    <xf numFmtId="3" fontId="47" fillId="39" borderId="42" xfId="0" applyNumberFormat="1" applyFont="1" applyFill="1" applyBorder="1"/>
    <xf numFmtId="3" fontId="48" fillId="40" borderId="43" xfId="0" applyNumberFormat="1" applyFont="1" applyFill="1" applyBorder="1"/>
    <xf numFmtId="3" fontId="49" fillId="41" borderId="44" xfId="0" applyNumberFormat="1" applyFont="1" applyFill="1" applyBorder="1"/>
    <xf numFmtId="3" fontId="50" fillId="42" borderId="45" xfId="0" applyNumberFormat="1" applyFont="1" applyFill="1" applyBorder="1"/>
    <xf numFmtId="3" fontId="51" fillId="43" borderId="46" xfId="0" applyNumberFormat="1" applyFont="1" applyFill="1" applyBorder="1"/>
    <xf numFmtId="3" fontId="52" fillId="44" borderId="47" xfId="0" applyNumberFormat="1" applyFont="1" applyFill="1" applyBorder="1"/>
    <xf numFmtId="3" fontId="53" fillId="45" borderId="48" xfId="0" applyNumberFormat="1" applyFont="1" applyFill="1" applyBorder="1"/>
    <xf numFmtId="3" fontId="54" fillId="46" borderId="49" xfId="0" applyNumberFormat="1" applyFont="1" applyFill="1" applyBorder="1"/>
    <xf numFmtId="3" fontId="55" fillId="47" borderId="50" xfId="0" applyNumberFormat="1" applyFont="1" applyFill="1" applyBorder="1"/>
    <xf numFmtId="3" fontId="56" fillId="48" borderId="51" xfId="0" applyNumberFormat="1" applyFont="1" applyFill="1" applyBorder="1"/>
    <xf numFmtId="3" fontId="57" fillId="49" borderId="52" xfId="0" applyNumberFormat="1" applyFont="1" applyFill="1" applyBorder="1"/>
    <xf numFmtId="3" fontId="58" fillId="50" borderId="53" xfId="0" applyNumberFormat="1" applyFont="1" applyFill="1" applyBorder="1"/>
    <xf numFmtId="3" fontId="59" fillId="51" borderId="54" xfId="0" applyNumberFormat="1" applyFont="1" applyFill="1" applyBorder="1"/>
    <xf numFmtId="3" fontId="60" fillId="52" borderId="55" xfId="0" applyNumberFormat="1" applyFont="1" applyFill="1" applyBorder="1"/>
    <xf numFmtId="3" fontId="61" fillId="53" borderId="56" xfId="0" applyNumberFormat="1" applyFont="1" applyFill="1" applyBorder="1"/>
    <xf numFmtId="3" fontId="62" fillId="54" borderId="57" xfId="0" applyNumberFormat="1" applyFont="1" applyFill="1" applyBorder="1"/>
    <xf numFmtId="3" fontId="63" fillId="55" borderId="58" xfId="0" applyNumberFormat="1" applyFont="1" applyFill="1" applyBorder="1"/>
    <xf numFmtId="3" fontId="64" fillId="56" borderId="59" xfId="0" applyNumberFormat="1" applyFont="1" applyFill="1" applyBorder="1"/>
    <xf numFmtId="3" fontId="65" fillId="57" borderId="60" xfId="0" applyNumberFormat="1" applyFont="1" applyFill="1" applyBorder="1"/>
    <xf numFmtId="3" fontId="66" fillId="58" borderId="61" xfId="0" applyNumberFormat="1" applyFont="1" applyFill="1" applyBorder="1"/>
    <xf numFmtId="3" fontId="67" fillId="59" borderId="62" xfId="0" applyNumberFormat="1" applyFont="1" applyFill="1" applyBorder="1"/>
    <xf numFmtId="3" fontId="68" fillId="60" borderId="63" xfId="0" applyNumberFormat="1" applyFont="1" applyFill="1" applyBorder="1"/>
    <xf numFmtId="3" fontId="69" fillId="61" borderId="64" xfId="0" applyNumberFormat="1" applyFont="1" applyFill="1" applyBorder="1"/>
    <xf numFmtId="3" fontId="70" fillId="62" borderId="65" xfId="0" applyNumberFormat="1" applyFont="1" applyFill="1" applyBorder="1"/>
    <xf numFmtId="3" fontId="71" fillId="63" borderId="66" xfId="0" applyNumberFormat="1" applyFont="1" applyFill="1" applyBorder="1"/>
    <xf numFmtId="3" fontId="72" fillId="64" borderId="67" xfId="0" applyNumberFormat="1" applyFont="1" applyFill="1" applyBorder="1"/>
    <xf numFmtId="3" fontId="73" fillId="65" borderId="68" xfId="0" applyNumberFormat="1" applyFont="1" applyFill="1" applyBorder="1"/>
    <xf numFmtId="3" fontId="74" fillId="66" borderId="69" xfId="0" applyNumberFormat="1" applyFont="1" applyFill="1" applyBorder="1"/>
    <xf numFmtId="3" fontId="75" fillId="67" borderId="70" xfId="0" applyNumberFormat="1" applyFont="1" applyFill="1" applyBorder="1"/>
    <xf numFmtId="3" fontId="76" fillId="68" borderId="71" xfId="0" applyNumberFormat="1" applyFont="1" applyFill="1" applyBorder="1"/>
    <xf numFmtId="3" fontId="77" fillId="69" borderId="72" xfId="0" applyNumberFormat="1" applyFont="1" applyFill="1" applyBorder="1"/>
    <xf numFmtId="3" fontId="78" fillId="70" borderId="73" xfId="0" applyNumberFormat="1" applyFont="1" applyFill="1" applyBorder="1"/>
    <xf numFmtId="3" fontId="79" fillId="71" borderId="74" xfId="0" applyNumberFormat="1" applyFont="1" applyFill="1" applyBorder="1"/>
    <xf numFmtId="3" fontId="80" fillId="72" borderId="75" xfId="0" applyNumberFormat="1" applyFont="1" applyFill="1" applyBorder="1"/>
    <xf numFmtId="3" fontId="81" fillId="73" borderId="76" xfId="0" applyNumberFormat="1" applyFont="1" applyFill="1" applyBorder="1"/>
    <xf numFmtId="3" fontId="82" fillId="74" borderId="77" xfId="0" applyNumberFormat="1" applyFont="1" applyFill="1" applyBorder="1"/>
    <xf numFmtId="3" fontId="83" fillId="75" borderId="78" xfId="0" applyNumberFormat="1" applyFont="1" applyFill="1" applyBorder="1"/>
    <xf numFmtId="3" fontId="84" fillId="76" borderId="79" xfId="0" applyNumberFormat="1" applyFont="1" applyFill="1" applyBorder="1"/>
    <xf numFmtId="3" fontId="85" fillId="77" borderId="80" xfId="0" applyNumberFormat="1" applyFont="1" applyFill="1" applyBorder="1"/>
    <xf numFmtId="3" fontId="86" fillId="78" borderId="81" xfId="0" applyNumberFormat="1" applyFont="1" applyFill="1" applyBorder="1"/>
    <xf numFmtId="3" fontId="87" fillId="79" borderId="82" xfId="0" applyNumberFormat="1" applyFont="1" applyFill="1" applyBorder="1"/>
    <xf numFmtId="3" fontId="88" fillId="80" borderId="83" xfId="0" applyNumberFormat="1" applyFont="1" applyFill="1" applyBorder="1"/>
    <xf numFmtId="3" fontId="89" fillId="81" borderId="84" xfId="0" applyNumberFormat="1" applyFont="1" applyFill="1" applyBorder="1"/>
    <xf numFmtId="3" fontId="90" fillId="82" borderId="85" xfId="0" applyNumberFormat="1" applyFont="1" applyFill="1" applyBorder="1"/>
    <xf numFmtId="3" fontId="91" fillId="83" borderId="86" xfId="0" applyNumberFormat="1" applyFont="1" applyFill="1" applyBorder="1"/>
    <xf numFmtId="3" fontId="92" fillId="84" borderId="87" xfId="0" applyNumberFormat="1" applyFont="1" applyFill="1" applyBorder="1"/>
    <xf numFmtId="3" fontId="93" fillId="85" borderId="88" xfId="0" applyNumberFormat="1" applyFont="1" applyFill="1" applyBorder="1"/>
    <xf numFmtId="3" fontId="94" fillId="86" borderId="89" xfId="0" applyNumberFormat="1" applyFont="1" applyFill="1" applyBorder="1"/>
    <xf numFmtId="3" fontId="95" fillId="87" borderId="90" xfId="0" applyNumberFormat="1" applyFont="1" applyFill="1" applyBorder="1"/>
    <xf numFmtId="3" fontId="96" fillId="88" borderId="91" xfId="0" applyNumberFormat="1" applyFont="1" applyFill="1" applyBorder="1"/>
    <xf numFmtId="3" fontId="97" fillId="89" borderId="92" xfId="0" applyNumberFormat="1" applyFont="1" applyFill="1" applyBorder="1"/>
    <xf numFmtId="3" fontId="98" fillId="90" borderId="93" xfId="0" applyNumberFormat="1" applyFont="1" applyFill="1" applyBorder="1"/>
    <xf numFmtId="3" fontId="99" fillId="91" borderId="94" xfId="0" applyNumberFormat="1" applyFont="1" applyFill="1" applyBorder="1"/>
    <xf numFmtId="3" fontId="100" fillId="92" borderId="95" xfId="0" applyNumberFormat="1" applyFont="1" applyFill="1" applyBorder="1"/>
    <xf numFmtId="3" fontId="101" fillId="93" borderId="96" xfId="0" applyNumberFormat="1" applyFont="1" applyFill="1" applyBorder="1"/>
    <xf numFmtId="3" fontId="102" fillId="94" borderId="97" xfId="0" applyNumberFormat="1" applyFont="1" applyFill="1" applyBorder="1"/>
    <xf numFmtId="3" fontId="103" fillId="95" borderId="98" xfId="0" applyNumberFormat="1" applyFont="1" applyFill="1" applyBorder="1"/>
    <xf numFmtId="3" fontId="104" fillId="96" borderId="99" xfId="0" applyNumberFormat="1" applyFont="1" applyFill="1" applyBorder="1"/>
    <xf numFmtId="3" fontId="105" fillId="97" borderId="100" xfId="0" applyNumberFormat="1" applyFont="1" applyFill="1" applyBorder="1"/>
    <xf numFmtId="3" fontId="106" fillId="98" borderId="101" xfId="0" applyNumberFormat="1" applyFont="1" applyFill="1" applyBorder="1"/>
    <xf numFmtId="3" fontId="107" fillId="99" borderId="102" xfId="0" applyNumberFormat="1" applyFont="1" applyFill="1" applyBorder="1"/>
    <xf numFmtId="3" fontId="108" fillId="100" borderId="103" xfId="0" applyNumberFormat="1" applyFont="1" applyFill="1" applyBorder="1"/>
    <xf numFmtId="3" fontId="109" fillId="101" borderId="104" xfId="0" applyNumberFormat="1" applyFont="1" applyFill="1" applyBorder="1"/>
    <xf numFmtId="3" fontId="110" fillId="102" borderId="105" xfId="0" applyNumberFormat="1" applyFont="1" applyFill="1" applyBorder="1"/>
    <xf numFmtId="3" fontId="111" fillId="103" borderId="106" xfId="0" applyNumberFormat="1" applyFont="1" applyFill="1" applyBorder="1"/>
    <xf numFmtId="3" fontId="112" fillId="104" borderId="107" xfId="0" applyNumberFormat="1" applyFont="1" applyFill="1" applyBorder="1"/>
    <xf numFmtId="3" fontId="113" fillId="105" borderId="108" xfId="0" applyNumberFormat="1" applyFont="1" applyFill="1" applyBorder="1"/>
    <xf numFmtId="3" fontId="114" fillId="106" borderId="109" xfId="0" applyNumberFormat="1" applyFont="1" applyFill="1" applyBorder="1"/>
    <xf numFmtId="3" fontId="115" fillId="107" borderId="110" xfId="0" applyNumberFormat="1" applyFont="1" applyFill="1" applyBorder="1"/>
    <xf numFmtId="3" fontId="116" fillId="108" borderId="111" xfId="0" applyNumberFormat="1" applyFont="1" applyFill="1" applyBorder="1"/>
    <xf numFmtId="3" fontId="117" fillId="109" borderId="112" xfId="0" applyNumberFormat="1" applyFont="1" applyFill="1" applyBorder="1"/>
    <xf numFmtId="3" fontId="118" fillId="110" borderId="113" xfId="0" applyNumberFormat="1" applyFont="1" applyFill="1" applyBorder="1"/>
    <xf numFmtId="3" fontId="119" fillId="111" borderId="114" xfId="0" applyNumberFormat="1" applyFont="1" applyFill="1" applyBorder="1"/>
    <xf numFmtId="3" fontId="120" fillId="112" borderId="115" xfId="0" applyNumberFormat="1" applyFont="1" applyFill="1" applyBorder="1"/>
    <xf numFmtId="3" fontId="121" fillId="113" borderId="116" xfId="0" applyNumberFormat="1" applyFont="1" applyFill="1" applyBorder="1"/>
    <xf numFmtId="3" fontId="122" fillId="114" borderId="117" xfId="0" applyNumberFormat="1" applyFont="1" applyFill="1" applyBorder="1"/>
    <xf numFmtId="3" fontId="123" fillId="115" borderId="118" xfId="0" applyNumberFormat="1" applyFont="1" applyFill="1" applyBorder="1"/>
    <xf numFmtId="3" fontId="124" fillId="116" borderId="119" xfId="0" applyNumberFormat="1" applyFont="1" applyFill="1" applyBorder="1"/>
    <xf numFmtId="3" fontId="125" fillId="117" borderId="120" xfId="0" applyNumberFormat="1" applyFont="1" applyFill="1" applyBorder="1"/>
    <xf numFmtId="3" fontId="126" fillId="118" borderId="121" xfId="0" applyNumberFormat="1" applyFont="1" applyFill="1" applyBorder="1"/>
    <xf numFmtId="3" fontId="127" fillId="119" borderId="122" xfId="0" applyNumberFormat="1" applyFont="1" applyFill="1" applyBorder="1"/>
    <xf numFmtId="3" fontId="128" fillId="120" borderId="123" xfId="0" applyNumberFormat="1" applyFont="1" applyFill="1" applyBorder="1"/>
    <xf numFmtId="3" fontId="129" fillId="121" borderId="124" xfId="0" applyNumberFormat="1" applyFont="1" applyFill="1" applyBorder="1"/>
    <xf numFmtId="3" fontId="130" fillId="122" borderId="125" xfId="0" applyNumberFormat="1" applyFont="1" applyFill="1" applyBorder="1"/>
    <xf numFmtId="3" fontId="131" fillId="123" borderId="126" xfId="0" applyNumberFormat="1" applyFont="1" applyFill="1" applyBorder="1"/>
    <xf numFmtId="3" fontId="132" fillId="124" borderId="127" xfId="0" applyNumberFormat="1" applyFont="1" applyFill="1" applyBorder="1"/>
    <xf numFmtId="3" fontId="133" fillId="125" borderId="128" xfId="0" applyNumberFormat="1" applyFont="1" applyFill="1" applyBorder="1"/>
    <xf numFmtId="3" fontId="134" fillId="126" borderId="129" xfId="0" applyNumberFormat="1" applyFont="1" applyFill="1" applyBorder="1"/>
    <xf numFmtId="3" fontId="135" fillId="127" borderId="130" xfId="0" applyNumberFormat="1" applyFont="1" applyFill="1" applyBorder="1"/>
    <xf numFmtId="3" fontId="136" fillId="128" borderId="131" xfId="0" applyNumberFormat="1" applyFont="1" applyFill="1" applyBorder="1"/>
    <xf numFmtId="3" fontId="137" fillId="129" borderId="132" xfId="0" applyNumberFormat="1" applyFont="1" applyAlignment="1" applyFill="1" applyBorder="1">
      <alignment horizontal="right"/>
    </xf>
    <xf numFmtId="3" fontId="138" fillId="130" borderId="133" xfId="0" applyNumberFormat="1" applyFont="1" applyAlignment="1" applyFill="1" applyBorder="1">
      <alignment horizontal="right"/>
    </xf>
    <xf numFmtId="3" fontId="139" fillId="131" borderId="134" xfId="0" applyNumberFormat="1" applyFont="1" applyAlignment="1" applyFill="1" applyBorder="1">
      <alignment horizontal="right"/>
    </xf>
    <xf numFmtId="3" fontId="140" fillId="132" borderId="135" xfId="0" applyNumberFormat="1" applyFont="1" applyAlignment="1" applyFill="1" applyBorder="1">
      <alignment horizontal="right"/>
    </xf>
    <xf numFmtId="3" fontId="141" fillId="133" borderId="136" xfId="0" applyNumberFormat="1" applyFont="1" applyAlignment="1" applyFill="1" applyBorder="1">
      <alignment horizontal="right"/>
    </xf>
    <xf numFmtId="3" fontId="142" fillId="134" borderId="137" xfId="0" applyNumberFormat="1" applyFont="1" applyAlignment="1" applyFill="1" applyBorder="1">
      <alignment horizontal="right"/>
    </xf>
    <xf numFmtId="3" fontId="143" fillId="135" borderId="138" xfId="0" applyNumberFormat="1" applyFont="1" applyAlignment="1" applyFill="1" applyBorder="1">
      <alignment horizontal="right"/>
    </xf>
    <xf numFmtId="3" fontId="144" fillId="136" borderId="139" xfId="0" applyNumberFormat="1" applyFont="1" applyAlignment="1" applyFill="1" applyBorder="1">
      <alignment horizontal="right"/>
    </xf>
    <xf numFmtId="3" fontId="145" fillId="137" borderId="140" xfId="0" applyNumberFormat="1" applyFont="1" applyAlignment="1" applyFill="1" applyBorder="1">
      <alignment horizontal="right"/>
    </xf>
    <xf numFmtId="3" fontId="146" fillId="138" borderId="141" xfId="0" applyNumberFormat="1" applyFont="1" applyAlignment="1" applyFill="1" applyBorder="1">
      <alignment horizontal="right"/>
    </xf>
    <xf numFmtId="3" fontId="147" fillId="139" borderId="142" xfId="0" applyNumberFormat="1" applyFont="1" applyAlignment="1" applyFill="1" applyBorder="1">
      <alignment horizontal="right"/>
    </xf>
    <xf numFmtId="3" fontId="148" fillId="140" borderId="143" xfId="0" applyNumberFormat="1" applyFont="1" applyAlignment="1" applyFill="1" applyBorder="1">
      <alignment horizontal="right"/>
    </xf>
    <xf numFmtId="3" fontId="149" fillId="141" borderId="144" xfId="0" applyNumberFormat="1" applyFont="1" applyAlignment="1" applyFill="1" applyBorder="1">
      <alignment horizontal="right"/>
    </xf>
    <xf numFmtId="3" fontId="150" fillId="142" borderId="145" xfId="0" applyNumberFormat="1" applyFont="1" applyAlignment="1" applyFill="1" applyBorder="1">
      <alignment horizontal="right"/>
    </xf>
    <xf numFmtId="3" fontId="151" fillId="143" borderId="146" xfId="0" applyNumberFormat="1" applyFont="1" applyAlignment="1" applyFill="1" applyBorder="1">
      <alignment horizontal="right"/>
    </xf>
    <xf numFmtId="3" fontId="152" fillId="144" borderId="147" xfId="0" applyNumberFormat="1" applyFont="1" applyAlignment="1" applyFill="1" applyBorder="1">
      <alignment horizontal="right"/>
    </xf>
    <xf numFmtId="3" fontId="153" fillId="145" borderId="148" xfId="0" applyNumberFormat="1" applyFont="1" applyAlignment="1" applyFill="1" applyBorder="1">
      <alignment horizontal="right"/>
    </xf>
    <xf numFmtId="3" fontId="154" fillId="146" borderId="149" xfId="0" applyNumberFormat="1" applyFont="1" applyAlignment="1" applyFill="1" applyBorder="1">
      <alignment horizontal="right"/>
    </xf>
    <xf numFmtId="3" fontId="155" fillId="147" borderId="150" xfId="0" applyNumberFormat="1" applyFont="1" applyAlignment="1" applyFill="1" applyBorder="1">
      <alignment horizontal="right"/>
    </xf>
    <xf numFmtId="3" fontId="156" fillId="148" borderId="151" xfId="0" applyNumberFormat="1" applyFont="1" applyAlignment="1" applyFill="1" applyBorder="1">
      <alignment horizontal="right"/>
    </xf>
    <xf numFmtId="3" fontId="157" fillId="149" borderId="152" xfId="0" applyNumberFormat="1" applyFont="1" applyAlignment="1" applyFill="1" applyBorder="1">
      <alignment horizontal="right"/>
    </xf>
    <xf numFmtId="3" fontId="158" fillId="150" borderId="153" xfId="0" applyNumberFormat="1" applyFont="1" applyAlignment="1" applyFill="1" applyBorder="1">
      <alignment horizontal="right"/>
    </xf>
    <xf numFmtId="3" fontId="159" fillId="151" borderId="154" xfId="0" applyNumberFormat="1" applyFont="1" applyAlignment="1" applyFill="1" applyBorder="1">
      <alignment horizontal="right"/>
    </xf>
    <xf numFmtId="3" fontId="160" fillId="152" borderId="155" xfId="0" applyNumberFormat="1" applyFont="1" applyAlignment="1" applyFill="1" applyBorder="1">
      <alignment horizontal="right"/>
    </xf>
    <xf numFmtId="3" fontId="161" fillId="153" borderId="156" xfId="0" applyNumberFormat="1" applyFont="1" applyAlignment="1" applyFill="1" applyBorder="1">
      <alignment horizontal="right"/>
    </xf>
    <xf numFmtId="3" fontId="162" fillId="154" borderId="157" xfId="0" applyNumberFormat="1" applyFont="1" applyAlignment="1" applyFill="1" applyBorder="1">
      <alignment horizontal="right"/>
    </xf>
    <xf numFmtId="3" fontId="163" fillId="155" borderId="158" xfId="0" applyNumberFormat="1" applyFont="1" applyAlignment="1" applyFill="1" applyBorder="1">
      <alignment horizontal="right"/>
    </xf>
    <xf numFmtId="3" fontId="164" fillId="156" borderId="159" xfId="0" applyNumberFormat="1" applyFont="1" applyAlignment="1" applyFill="1" applyBorder="1">
      <alignment horizontal="right"/>
    </xf>
    <xf numFmtId="3" fontId="165" fillId="157" borderId="160" xfId="0" applyNumberFormat="1" applyFont="1" applyAlignment="1" applyFill="1" applyBorder="1">
      <alignment horizontal="right"/>
    </xf>
    <xf numFmtId="3" fontId="166" fillId="158" borderId="161" xfId="0" applyNumberFormat="1" applyFont="1" applyAlignment="1" applyFill="1" applyBorder="1">
      <alignment horizontal="right"/>
    </xf>
    <xf numFmtId="3" fontId="167" fillId="159" borderId="162" xfId="0" applyNumberFormat="1" applyFont="1" applyAlignment="1" applyFill="1" applyBorder="1">
      <alignment horizontal="right"/>
    </xf>
    <xf numFmtId="3" fontId="168" fillId="160" borderId="163" xfId="0" applyNumberFormat="1" applyFont="1" applyAlignment="1" applyFill="1" applyBorder="1">
      <alignment horizontal="right"/>
    </xf>
    <xf numFmtId="3" fontId="169" fillId="161" borderId="164" xfId="0" applyNumberFormat="1" applyFont="1" applyAlignment="1" applyFill="1" applyBorder="1">
      <alignment horizontal="right"/>
    </xf>
    <xf numFmtId="3" fontId="170" fillId="162" borderId="165" xfId="0" applyNumberFormat="1" applyFont="1" applyAlignment="1" applyFill="1" applyBorder="1">
      <alignment horizontal="right"/>
    </xf>
    <xf numFmtId="3" fontId="171" fillId="163" borderId="166" xfId="0" applyNumberFormat="1" applyFont="1" applyAlignment="1" applyFill="1" applyBorder="1">
      <alignment horizontal="right"/>
    </xf>
    <xf numFmtId="3" fontId="172" fillId="164" borderId="167" xfId="0" applyNumberFormat="1" applyFont="1" applyAlignment="1" applyFill="1" applyBorder="1">
      <alignment horizontal="right"/>
    </xf>
    <xf numFmtId="3" fontId="173" fillId="165" borderId="168" xfId="0" applyNumberFormat="1" applyFont="1" applyAlignment="1" applyFill="1" applyBorder="1">
      <alignment horizontal="right"/>
    </xf>
    <xf numFmtId="3" fontId="174" fillId="166" borderId="169" xfId="0" applyNumberFormat="1" applyFont="1" applyAlignment="1" applyFill="1" applyBorder="1">
      <alignment horizontal="right"/>
    </xf>
    <xf numFmtId="3" fontId="175" fillId="167" borderId="170" xfId="0" applyNumberFormat="1" applyFont="1" applyAlignment="1" applyFill="1" applyBorder="1">
      <alignment horizontal="right"/>
    </xf>
    <xf numFmtId="3" fontId="176" fillId="168" borderId="171" xfId="0" applyNumberFormat="1" applyFont="1" applyAlignment="1" applyFill="1" applyBorder="1">
      <alignment horizontal="right"/>
    </xf>
    <xf numFmtId="3" fontId="177" fillId="169" borderId="172" xfId="0" applyNumberFormat="1" applyFont="1" applyAlignment="1" applyFill="1" applyBorder="1">
      <alignment horizontal="right"/>
    </xf>
    <xf numFmtId="3" fontId="178" fillId="170" borderId="173" xfId="0" applyFont="1" applyAlignment="1" applyFill="1" applyBorder="1">
      <alignment horizontal="right"/>
    </xf>
    <xf numFmtId="3" fontId="179" fillId="171" borderId="174" xfId="0" applyNumberFormat="1" applyFont="1" applyAlignment="1" applyFill="1" applyBorder="1">
      <alignment horizontal="right"/>
    </xf>
    <xf numFmtId="3" fontId="180" fillId="172" borderId="175" xfId="0" applyFont="1" applyAlignment="1" applyFill="1" applyBorder="1">
      <alignment horizontal="right"/>
    </xf>
    <xf numFmtId="3" fontId="181" fillId="173" borderId="176" xfId="0" applyFont="1" applyAlignment="1" applyFill="1" applyBorder="1">
      <alignment horizontal="right"/>
    </xf>
    <xf numFmtId="3" fontId="182" fillId="174" borderId="177" xfId="0" applyNumberFormat="1" applyFont="1" applyAlignment="1" applyFill="1" applyBorder="1">
      <alignment horizontal="right"/>
    </xf>
    <xf numFmtId="3" fontId="183" fillId="175" borderId="178" xfId="0" applyNumberFormat="1" applyFont="1" applyAlignment="1" applyFill="1" applyBorder="1">
      <alignment horizontal="right"/>
    </xf>
    <xf numFmtId="3" fontId="184" fillId="176" borderId="179" xfId="0" applyNumberFormat="1" applyFont="1" applyAlignment="1" applyFill="1" applyBorder="1">
      <alignment horizontal="right"/>
    </xf>
    <xf numFmtId="3" fontId="185" fillId="177" borderId="180" xfId="0" applyNumberFormat="1" applyFont="1" applyAlignment="1" applyFill="1" applyBorder="1">
      <alignment horizontal="right"/>
    </xf>
    <xf numFmtId="3" fontId="186" fillId="178" borderId="181" xfId="0" applyNumberFormat="1" applyFont="1" applyAlignment="1" applyFill="1" applyBorder="1">
      <alignment horizontal="right"/>
    </xf>
    <xf numFmtId="3" fontId="187" fillId="179" borderId="182" xfId="0" applyFont="1" applyAlignment="1" applyFill="1" applyBorder="1">
      <alignment horizontal="right"/>
    </xf>
    <xf numFmtId="3" fontId="188" fillId="180" borderId="183" xfId="0" applyFont="1" applyAlignment="1" applyFill="1" applyBorder="1">
      <alignment horizontal="right"/>
    </xf>
    <xf numFmtId="3" fontId="189" fillId="181" borderId="184" xfId="0" applyFont="1" applyAlignment="1" applyFill="1" applyBorder="1">
      <alignment horizontal="right"/>
    </xf>
    <xf numFmtId="3" fontId="190" fillId="182" borderId="185" xfId="0" applyFont="1" applyAlignment="1" applyFill="1" applyBorder="1">
      <alignment horizontal="right"/>
    </xf>
    <xf numFmtId="3" fontId="191" fillId="183" borderId="186" xfId="0" applyNumberFormat="1" applyFont="1" applyAlignment="1" applyFill="1" applyBorder="1">
      <alignment horizontal="right"/>
    </xf>
    <xf numFmtId="3" fontId="192" fillId="184" borderId="187" xfId="0" applyFont="1" applyAlignment="1" applyFill="1" applyBorder="1">
      <alignment horizontal="right"/>
    </xf>
    <xf numFmtId="3" fontId="193" fillId="185" borderId="188" xfId="0" applyFont="1" applyAlignment="1" applyFill="1" applyBorder="1">
      <alignment horizontal="right"/>
    </xf>
    <xf numFmtId="3" fontId="194" fillId="186" borderId="189" xfId="0" applyNumberFormat="1" applyFont="1" applyAlignment="1" applyFill="1" applyBorder="1">
      <alignment horizontal="right"/>
    </xf>
    <xf numFmtId="3" fontId="195" fillId="187" borderId="190" xfId="0" applyNumberFormat="1" applyFont="1" applyAlignment="1" applyFill="1" applyBorder="1">
      <alignment horizontal="right"/>
    </xf>
    <xf numFmtId="3" fontId="196" fillId="188" borderId="191" xfId="0" applyNumberFormat="1" applyFont="1" applyAlignment="1" applyFill="1" applyBorder="1">
      <alignment horizontal="right"/>
    </xf>
    <xf numFmtId="3" fontId="197" fillId="189" borderId="192" xfId="0" applyNumberFormat="1" applyFont="1" applyAlignment="1" applyFill="1" applyBorder="1">
      <alignment horizontal="right"/>
    </xf>
    <xf numFmtId="3" fontId="198" fillId="190" borderId="193" xfId="0" applyNumberFormat="1" applyFont="1" applyAlignment="1" applyFill="1" applyBorder="1">
      <alignment horizontal="right"/>
    </xf>
    <xf numFmtId="3" fontId="199" fillId="191" borderId="194" xfId="0" applyNumberFormat="1" applyFont="1" applyAlignment="1" applyFill="1" applyBorder="1">
      <alignment horizontal="right"/>
    </xf>
    <xf numFmtId="3" fontId="200" fillId="192" borderId="195" xfId="0" applyNumberFormat="1" applyFont="1" applyAlignment="1" applyFill="1" applyBorder="1">
      <alignment horizontal="right"/>
    </xf>
    <xf numFmtId="3" fontId="201" fillId="193" borderId="196" xfId="0" applyNumberFormat="1" applyFont="1" applyAlignment="1" applyFill="1" applyBorder="1">
      <alignment horizontal="right"/>
    </xf>
    <xf numFmtId="3" fontId="202" fillId="194" borderId="197" xfId="0" applyNumberFormat="1" applyFont="1" applyAlignment="1" applyFill="1" applyBorder="1">
      <alignment horizontal="right"/>
    </xf>
    <xf numFmtId="3" fontId="203" fillId="195" borderId="198" xfId="0" applyNumberFormat="1" applyFont="1" applyAlignment="1" applyFill="1" applyBorder="1">
      <alignment horizontal="right"/>
    </xf>
    <xf numFmtId="3" fontId="204" fillId="196" borderId="199" xfId="0" applyNumberFormat="1" applyFont="1" applyAlignment="1" applyFill="1" applyBorder="1">
      <alignment horizontal="right"/>
    </xf>
    <xf numFmtId="3" fontId="205" fillId="197" borderId="200" xfId="0" applyNumberFormat="1" applyFont="1" applyAlignment="1" applyFill="1" applyBorder="1">
      <alignment horizontal="right"/>
    </xf>
    <xf numFmtId="3" fontId="206" fillId="198" borderId="201" xfId="0" applyNumberFormat="1" applyFont="1" applyAlignment="1" applyFill="1" applyBorder="1">
      <alignment horizontal="right"/>
    </xf>
    <xf numFmtId="3" fontId="207" fillId="199" borderId="202" xfId="0" applyNumberFormat="1" applyFont="1" applyAlignment="1" applyFill="1" applyBorder="1">
      <alignment horizontal="right"/>
    </xf>
    <xf numFmtId="3" fontId="208" fillId="200" borderId="203" xfId="0" applyNumberFormat="1" applyFont="1" applyAlignment="1" applyFill="1" applyBorder="1">
      <alignment horizontal="right"/>
    </xf>
    <xf numFmtId="3" fontId="209" fillId="201" borderId="204" xfId="0" applyNumberFormat="1" applyFont="1" applyAlignment="1" applyFill="1" applyBorder="1">
      <alignment horizontal="right"/>
    </xf>
    <xf numFmtId="3" fontId="210" fillId="202" borderId="205" xfId="0" applyNumberFormat="1" applyFont="1" applyAlignment="1" applyFill="1" applyBorder="1">
      <alignment horizontal="right"/>
    </xf>
    <xf numFmtId="3" fontId="211" fillId="203" borderId="206" xfId="0" applyNumberFormat="1" applyFont="1" applyAlignment="1" applyFill="1" applyBorder="1">
      <alignment horizontal="right"/>
    </xf>
    <xf numFmtId="10" fontId="212" fillId="204" borderId="207" xfId="0" applyNumberFormat="1" applyFont="1" applyFill="1" applyBorder="1"/>
    <xf numFmtId="10" fontId="213" fillId="205" borderId="208" xfId="0" applyNumberFormat="1" applyFont="1" applyFill="1" applyBorder="1"/>
    <xf numFmtId="10" fontId="214" fillId="206" borderId="209" xfId="0" applyNumberFormat="1" applyFont="1" applyFill="1" applyBorder="1"/>
    <xf numFmtId="10" fontId="215" fillId="207" borderId="210" xfId="0" applyFont="1" applyFill="1" applyBorder="1"/>
    <xf numFmtId="10" fontId="216" fillId="208" borderId="211" xfId="0" applyFont="1" applyFill="1" applyBorder="1"/>
    <xf numFmtId="10" fontId="217" fillId="209" borderId="212" xfId="0" applyNumberFormat="1" applyFont="1" applyFill="1" applyBorder="1"/>
    <xf numFmtId="3" fontId="218" fillId="210" borderId="213" xfId="0" applyNumberFormat="1" applyFont="1" applyFill="1" applyBorder="1"/>
    <xf numFmtId="3" fontId="219" fillId="211" borderId="214" xfId="0" applyNumberFormat="1" applyFont="1" applyFill="1" applyBorder="1"/>
    <xf numFmtId="3" fontId="220" fillId="212" borderId="215" xfId="0" applyNumberFormat="1" applyFont="1" applyFill="1" applyBorder="1"/>
    <xf numFmtId="3" fontId="221" fillId="213" borderId="216" xfId="0" applyNumberFormat="1" applyFont="1" applyFill="1" applyBorder="1"/>
    <xf numFmtId="3" fontId="222" fillId="214" borderId="217" xfId="0" applyNumberFormat="1" applyFont="1" applyFill="1" applyBorder="1"/>
    <xf numFmtId="3" fontId="223" fillId="215" borderId="218" xfId="0" applyFont="1" applyFill="1" applyBorder="1"/>
    <xf numFmtId="3" fontId="224" fillId="216" borderId="219" xfId="0" applyNumberFormat="1" applyFont="1" applyFill="1" applyBorder="1"/>
    <xf numFmtId="3" fontId="225" fillId="217" borderId="220" xfId="0" applyNumberFormat="1" applyFont="1" applyFill="1" applyBorder="1"/>
    <xf numFmtId="3" fontId="226" fillId="218" borderId="221" xfId="0" applyNumberFormat="1" applyFont="1" applyFill="1" applyBorder="1"/>
    <xf numFmtId="3" fontId="227" fillId="219" borderId="222" xfId="0" applyNumberFormat="1" applyFont="1" applyFill="1" applyBorder="1"/>
    <xf numFmtId="3" fontId="228" fillId="220" borderId="223" xfId="0" applyNumberFormat="1" applyFont="1" applyFill="1" applyBorder="1"/>
    <xf numFmtId="3" fontId="229" fillId="221" borderId="224" xfId="0" applyFont="1" applyFill="1" applyBorder="1"/>
    <xf numFmtId="3" fontId="230" fillId="222" borderId="225" xfId="0" applyNumberFormat="1" applyFont="1" applyFill="1" applyBorder="1"/>
    <xf numFmtId="3" fontId="231" fillId="223" borderId="226" xfId="0" applyNumberFormat="1" applyFont="1" applyFill="1" applyBorder="1"/>
    <xf numFmtId="3" fontId="232" fillId="224" borderId="227" xfId="0" applyNumberFormat="1" applyFont="1" applyFill="1" applyBorder="1"/>
    <xf numFmtId="3" fontId="233" fillId="225" borderId="228" xfId="0" applyFont="1" applyFill="1" applyBorder="1"/>
    <xf numFmtId="3" fontId="234" fillId="226" borderId="229" xfId="0" applyNumberFormat="1" applyFont="1" applyFill="1" applyBorder="1"/>
    <xf numFmtId="3" fontId="235" fillId="227" borderId="230" xfId="0" applyFont="1" applyFill="1" applyBorder="1"/>
    <xf numFmtId="3" fontId="236" fillId="228" borderId="231" xfId="0" applyFont="1" applyFill="1" applyBorder="1"/>
    <xf numFmtId="3" fontId="237" fillId="229" borderId="232" xfId="0" applyNumberFormat="1" applyFont="1" applyFill="1" applyBorder="1"/>
    <xf numFmtId="3" fontId="238" fillId="230" borderId="233" xfId="0" applyFont="1" applyFill="1" applyBorder="1"/>
    <xf numFmtId="3" fontId="239" fillId="231" borderId="234" xfId="0" applyNumberFormat="1" applyFont="1" applyFill="1" applyBorder="1"/>
    <xf numFmtId="10" fontId="240" fillId="232" borderId="235" xfId="0" applyNumberFormat="1" applyFont="1" applyFill="1" applyBorder="1"/>
    <xf numFmtId="10" fontId="241" fillId="233" borderId="236" xfId="0" applyNumberFormat="1" applyFont="1" applyFill="1" applyBorder="1"/>
    <xf numFmtId="10" fontId="242" fillId="234" borderId="237" xfId="0" applyNumberFormat="1" applyFont="1" applyFill="1" applyBorder="1"/>
    <xf numFmtId="10" fontId="243" fillId="235" borderId="238" xfId="0" applyNumberFormat="1" applyFont="1" applyAlignment="1" applyFill="1" applyBorder="1">
      <alignment horizontal="right" vertical="center"/>
    </xf>
    <xf numFmtId="10" fontId="244" fillId="236" borderId="239" xfId="0" applyNumberFormat="1" applyFont="1" applyAlignment="1" applyFill="1" applyBorder="1">
      <alignment horizontal="right" vertical="center"/>
    </xf>
    <xf numFmtId="10" fontId="245" fillId="237" borderId="240" xfId="0" applyNumberFormat="1" applyFont="1" applyAlignment="1" applyFill="1" applyBorder="1">
      <alignment horizontal="right" vertical="center"/>
    </xf>
    <xf numFmtId="10" fontId="246" fillId="238" borderId="241" xfId="0" applyNumberFormat="1" applyFont="1" applyAlignment="1" applyFill="1" applyBorder="1">
      <alignment horizontal="right" vertical="center"/>
    </xf>
    <xf numFmtId="10" fontId="247" fillId="239" borderId="242" xfId="0" applyNumberFormat="1" applyFont="1" applyAlignment="1" applyFill="1" applyBorder="1">
      <alignment horizontal="right" vertical="center"/>
    </xf>
    <xf numFmtId="10" fontId="248" fillId="240" borderId="243" xfId="0" applyNumberFormat="1" applyFont="1" applyAlignment="1" applyFill="1" applyBorder="1">
      <alignment horizontal="right" vertical="center"/>
    </xf>
    <xf numFmtId="3" fontId="249" fillId="241" borderId="244" xfId="0" applyNumberFormat="1" applyFont="1" applyAlignment="1" applyFill="1" applyBorder="1">
      <alignment wrapText="1"/>
    </xf>
    <xf numFmtId="3" fontId="250" fillId="242" borderId="245" xfId="0" applyNumberFormat="1" applyFont="1" applyAlignment="1" applyFill="1" applyBorder="1">
      <alignment wrapText="1"/>
    </xf>
    <xf numFmtId="3" fontId="251" fillId="243" borderId="246" xfId="0" applyNumberFormat="1" applyFont="1" applyAlignment="1" applyFill="1" applyBorder="1">
      <alignment wrapText="1"/>
    </xf>
    <xf numFmtId="3" fontId="252" fillId="244" borderId="247" xfId="0" applyNumberFormat="1" applyFont="1" applyAlignment="1" applyFill="1" applyBorder="1">
      <alignment wrapText="1"/>
    </xf>
    <xf numFmtId="3" fontId="253" fillId="245" borderId="248" xfId="0" applyNumberFormat="1" applyFont="1" applyAlignment="1" applyFill="1" applyBorder="1">
      <alignment wrapText="1"/>
    </xf>
    <xf numFmtId="3" fontId="254" fillId="246" borderId="249" xfId="0" applyNumberFormat="1" applyFont="1" applyAlignment="1" applyFill="1" applyBorder="1">
      <alignment wrapText="1"/>
    </xf>
    <xf numFmtId="3" fontId="255" fillId="247" borderId="250" xfId="0" applyNumberFormat="1" applyFont="1" applyAlignment="1" applyFill="1" applyBorder="1">
      <alignment wrapText="1"/>
    </xf>
    <xf numFmtId="3" fontId="256" fillId="248" borderId="251" xfId="0" applyNumberFormat="1" applyFont="1" applyAlignment="1" applyFill="1" applyBorder="1">
      <alignment wrapText="1"/>
    </xf>
    <xf numFmtId="3" fontId="257" fillId="249" borderId="252" xfId="0" applyNumberFormat="1" applyFont="1" applyAlignment="1" applyFill="1" applyBorder="1">
      <alignment wrapText="1"/>
    </xf>
    <xf numFmtId="3" fontId="258" fillId="250" borderId="253" xfId="0" applyNumberFormat="1" applyFont="1" applyAlignment="1" applyFill="1" applyBorder="1">
      <alignment wrapText="1"/>
    </xf>
    <xf numFmtId="3" fontId="259" fillId="251" borderId="254" xfId="0" applyNumberFormat="1" applyFont="1" applyAlignment="1" applyFill="1" applyBorder="1">
      <alignment wrapText="1"/>
    </xf>
    <xf numFmtId="3" fontId="260" fillId="252" borderId="255" xfId="0" applyNumberFormat="1" applyFont="1" applyAlignment="1" applyFill="1" applyBorder="1">
      <alignment wrapText="1"/>
    </xf>
    <xf numFmtId="3" fontId="261" fillId="253" borderId="256" xfId="0" applyNumberFormat="1" applyFont="1" applyAlignment="1" applyFill="1" applyBorder="1">
      <alignment wrapText="1"/>
    </xf>
    <xf numFmtId="3" fontId="262" fillId="254" borderId="257" xfId="0" applyNumberFormat="1" applyFont="1" applyAlignment="1" applyFill="1" applyBorder="1">
      <alignment wrapText="1"/>
    </xf>
    <xf numFmtId="3" fontId="263" fillId="255" borderId="258" xfId="0" applyNumberFormat="1" applyFont="1" applyAlignment="1" applyFill="1" applyBorder="1">
      <alignment wrapText="1"/>
    </xf>
    <xf numFmtId="3" fontId="264" fillId="256" borderId="259" xfId="0" applyFont="1" applyAlignment="1" applyFill="1" applyBorder="1">
      <alignment vertical="center" wrapText="1"/>
    </xf>
    <xf numFmtId="3" fontId="265" fillId="257" borderId="260" xfId="0" applyFont="1" applyAlignment="1" applyFill="1" applyBorder="1">
      <alignment vertical="center" wrapText="1"/>
    </xf>
    <xf numFmtId="3" fontId="266" fillId="258" borderId="261" xfId="0" applyFont="1" applyAlignment="1" applyFill="1" applyBorder="1">
      <alignment vertical="center" wrapText="1"/>
    </xf>
    <xf numFmtId="3" fontId="267" fillId="259" borderId="262" xfId="0" applyFont="1" applyAlignment="1" applyFill="1" applyBorder="1">
      <alignment vertical="center" wrapText="1"/>
    </xf>
    <xf numFmtId="3" fontId="268" fillId="260" borderId="263" xfId="0" applyFont="1" applyAlignment="1" applyFill="1" applyBorder="1">
      <alignment horizontal="right" vertical="center" wrapText="1"/>
    </xf>
    <xf numFmtId="166" fontId="269" fillId="261" borderId="264" xfId="0" applyNumberFormat="1" applyFont="1" applyAlignment="1" applyFill="1" applyBorder="1">
      <alignment wrapText="1"/>
    </xf>
    <xf numFmtId="166" fontId="270" fillId="262" borderId="265" xfId="0" applyNumberFormat="1" applyFont="1" applyAlignment="1" applyFill="1" applyBorder="1">
      <alignment wrapText="1"/>
    </xf>
    <xf numFmtId="166" fontId="271" fillId="263" borderId="266" xfId="0" applyNumberFormat="1" applyFont="1" applyAlignment="1" applyFill="1" applyBorder="1">
      <alignment wrapText="1"/>
    </xf>
    <xf numFmtId="166" fontId="272" fillId="264" borderId="267" xfId="0" applyNumberFormat="1" applyFont="1" applyAlignment="1" applyFill="1" applyBorder="1">
      <alignment wrapText="1"/>
    </xf>
    <xf numFmtId="166" fontId="273" fillId="265" borderId="268" xfId="0" applyNumberFormat="1" applyFont="1" applyAlignment="1" applyFill="1" applyBorder="1">
      <alignment wrapText="1"/>
    </xf>
    <xf numFmtId="166" fontId="274" fillId="266" borderId="269" xfId="0" applyNumberFormat="1" applyFont="1" applyBorder="1" applyAlignment="1" applyFill="1">
      <alignment wrapText="1"/>
    </xf>
    <xf numFmtId="166" fontId="275" fillId="267" borderId="270" xfId="0" applyNumberFormat="1" applyFont="1" applyAlignment="1" applyFill="1" applyBorder="1">
      <alignment wrapText="1"/>
    </xf>
    <xf numFmtId="166" fontId="276" fillId="268" borderId="271" xfId="0" applyNumberFormat="1" applyFont="1" applyAlignment="1" applyFill="1" applyBorder="1">
      <alignment wrapText="1"/>
    </xf>
    <xf numFmtId="166" fontId="277" fillId="269" borderId="272" xfId="0" applyNumberFormat="1" applyFont="1" applyAlignment="1" applyFill="1" applyBorder="1">
      <alignment wrapText="1"/>
    </xf>
    <xf numFmtId="166" fontId="278" fillId="270" borderId="273" xfId="0" applyNumberFormat="1" applyFont="1" applyAlignment="1" applyFill="1" applyBorder="1">
      <alignment wrapText="1"/>
    </xf>
    <xf numFmtId="166" fontId="279" fillId="271" borderId="274" xfId="0" applyNumberFormat="1" applyFont="1" applyAlignment="1" applyFill="1" applyBorder="1">
      <alignment wrapText="1"/>
    </xf>
    <xf numFmtId="166" fontId="280" fillId="272" borderId="275" xfId="0" applyNumberFormat="1" applyFont="1" applyAlignment="1" applyFill="1" applyBorder="1">
      <alignment wrapText="1"/>
    </xf>
    <xf numFmtId="166" fontId="281" fillId="273" borderId="276" xfId="0" applyNumberFormat="1" applyFont="1" applyAlignment="1" applyFill="1" applyBorder="1">
      <alignment wrapText="1"/>
    </xf>
    <xf numFmtId="166" fontId="282" fillId="274" borderId="277" xfId="0" applyNumberFormat="1" applyFont="1" applyAlignment="1" applyFill="1" applyBorder="1">
      <alignment wrapText="1"/>
    </xf>
    <xf numFmtId="166" fontId="283" fillId="275" borderId="278" xfId="0" applyNumberFormat="1" applyFont="1" applyAlignment="1" applyFill="1" applyBorder="1">
      <alignment wrapText="1"/>
    </xf>
    <xf numFmtId="166" fontId="284" fillId="276" borderId="279" xfId="0" applyFont="1" applyAlignment="1" applyFill="1" applyBorder="1">
      <alignment vertical="center" wrapText="1"/>
    </xf>
    <xf numFmtId="166" fontId="285" fillId="277" borderId="280" xfId="0" applyFont="1" applyAlignment="1" applyFill="1" applyBorder="1">
      <alignment vertical="center" wrapText="1"/>
    </xf>
    <xf numFmtId="166" fontId="286" fillId="278" borderId="281" xfId="0" applyFont="1" applyAlignment="1" applyFill="1" applyBorder="1">
      <alignment vertical="center" wrapText="1"/>
    </xf>
    <xf numFmtId="166" fontId="287" fillId="279" borderId="282" xfId="0" applyFont="1" applyAlignment="1" applyFill="1" applyBorder="1">
      <alignment vertical="center" wrapText="1"/>
    </xf>
    <xf numFmtId="166" fontId="288" fillId="280" borderId="283" xfId="0" applyFont="1" applyAlignment="1" applyFill="1" applyBorder="1">
      <alignment horizontal="right" vertical="center" wrapText="1"/>
    </xf>
    <xf numFmtId="3" fontId="289" fillId="281" borderId="284" xfId="0" applyNumberFormat="1" applyFont="1" applyAlignment="1" applyFill="1" applyBorder="1">
      <alignment wrapText="1"/>
    </xf>
    <xf numFmtId="3" fontId="290" fillId="282" borderId="285" xfId="0" applyNumberFormat="1" applyFont="1" applyAlignment="1" applyFill="1" applyBorder="1">
      <alignment wrapText="1"/>
    </xf>
    <xf numFmtId="3" fontId="291" fillId="283" borderId="286" xfId="0" applyNumberFormat="1" applyFont="1" applyAlignment="1" applyFill="1" applyBorder="1">
      <alignment wrapText="1"/>
    </xf>
    <xf numFmtId="3" fontId="292" fillId="284" borderId="287" xfId="0" applyNumberFormat="1" applyFont="1" applyAlignment="1" applyFill="1" applyBorder="1">
      <alignment wrapText="1"/>
    </xf>
    <xf numFmtId="3" fontId="293" fillId="285" borderId="288" xfId="0" applyNumberFormat="1" applyFont="1" applyAlignment="1" applyFill="1" applyBorder="1">
      <alignment wrapText="1"/>
    </xf>
    <xf numFmtId="3" fontId="294" fillId="286" borderId="289" xfId="0" applyNumberFormat="1" applyFont="1" applyAlignment="1" applyFill="1" applyBorder="1">
      <alignment wrapText="1"/>
    </xf>
    <xf numFmtId="3" fontId="295" fillId="287" borderId="290" xfId="0" applyNumberFormat="1" applyFont="1" applyAlignment="1" applyFill="1" applyBorder="1">
      <alignment wrapText="1"/>
    </xf>
    <xf numFmtId="3" fontId="296" fillId="288" borderId="291" xfId="0" applyNumberFormat="1" applyFont="1" applyAlignment="1" applyFill="1" applyBorder="1">
      <alignment wrapText="1"/>
    </xf>
    <xf numFmtId="3" fontId="297" fillId="289" borderId="292" xfId="0" applyNumberFormat="1" applyFont="1" applyAlignment="1" applyFill="1" applyBorder="1">
      <alignment wrapText="1"/>
    </xf>
    <xf numFmtId="3" fontId="298" fillId="290" borderId="293" xfId="0" applyNumberFormat="1" applyFont="1" applyAlignment="1" applyFill="1" applyBorder="1">
      <alignment wrapText="1"/>
    </xf>
    <xf numFmtId="3" fontId="299" fillId="291" borderId="294" xfId="0" applyNumberFormat="1" applyFont="1" applyAlignment="1" applyFill="1" applyBorder="1">
      <alignment wrapText="1"/>
    </xf>
    <xf numFmtId="3" fontId="300" fillId="292" borderId="295" xfId="0" applyNumberFormat="1" applyFont="1" applyAlignment="1" applyFill="1" applyBorder="1">
      <alignment wrapText="1"/>
    </xf>
    <xf numFmtId="3" fontId="301" fillId="293" borderId="296" xfId="0" applyNumberFormat="1" applyFont="1" applyAlignment="1" applyFill="1" applyBorder="1">
      <alignment wrapText="1"/>
    </xf>
    <xf numFmtId="3" fontId="302" fillId="294" borderId="297" xfId="0" applyNumberFormat="1" applyFont="1" applyAlignment="1" applyFill="1" applyBorder="1">
      <alignment wrapText="1"/>
    </xf>
    <xf numFmtId="3" fontId="303" fillId="295" borderId="298" xfId="0" applyNumberFormat="1" applyFont="1" applyAlignment="1" applyFill="1" applyBorder="1">
      <alignment wrapText="1"/>
    </xf>
    <xf numFmtId="3" fontId="304" fillId="296" borderId="299" xfId="0" applyFont="1" applyAlignment="1" applyFill="1" applyBorder="1">
      <alignment vertical="center" wrapText="1"/>
    </xf>
    <xf numFmtId="3" fontId="305" fillId="297" borderId="300" xfId="0" applyFont="1" applyAlignment="1" applyFill="1" applyBorder="1">
      <alignment vertical="center" wrapText="1"/>
    </xf>
    <xf numFmtId="3" fontId="306" fillId="298" borderId="301" xfId="0" applyFont="1" applyAlignment="1" applyFill="1" applyBorder="1">
      <alignment vertical="center" wrapText="1"/>
    </xf>
    <xf numFmtId="3" fontId="307" fillId="299" borderId="302" xfId="0" applyFont="1" applyAlignment="1" applyFill="1" applyBorder="1">
      <alignment vertical="center" wrapText="1"/>
    </xf>
    <xf numFmtId="3" fontId="308" fillId="300" borderId="303" xfId="0" applyFont="1" applyAlignment="1" applyFill="1" applyBorder="1">
      <alignment horizontal="right" vertical="center" wrapText="1"/>
    </xf>
    <xf numFmtId="3" fontId="309" fillId="301" borderId="304" xfId="0" applyNumberFormat="1" applyFont="1" applyAlignment="1" applyFill="1" applyBorder="1">
      <alignment wrapText="1"/>
    </xf>
    <xf numFmtId="3" fontId="310" fillId="302" borderId="305" xfId="0" applyNumberFormat="1" applyFont="1" applyAlignment="1" applyFill="1" applyBorder="1">
      <alignment wrapText="1"/>
    </xf>
    <xf numFmtId="3" fontId="311" fillId="303" borderId="306" xfId="0" applyNumberFormat="1" applyFont="1" applyAlignment="1" applyFill="1" applyBorder="1">
      <alignment wrapText="1"/>
    </xf>
    <xf numFmtId="3" fontId="312" fillId="304" borderId="307" xfId="0" applyNumberFormat="1" applyFont="1" applyAlignment="1" applyFill="1" applyBorder="1">
      <alignment wrapText="1"/>
    </xf>
    <xf numFmtId="3" fontId="313" fillId="305" borderId="308" xfId="0" applyNumberFormat="1" applyFont="1" applyAlignment="1" applyFill="1" applyBorder="1">
      <alignment wrapText="1"/>
    </xf>
    <xf numFmtId="3" fontId="314" fillId="306" borderId="309" xfId="0" applyNumberFormat="1" applyFont="1" applyAlignment="1" applyFill="1" applyBorder="1">
      <alignment wrapText="1"/>
    </xf>
    <xf numFmtId="3" fontId="315" fillId="307" borderId="310" xfId="0" applyNumberFormat="1" applyFont="1" applyAlignment="1" applyFill="1" applyBorder="1">
      <alignment wrapText="1"/>
    </xf>
    <xf numFmtId="3" fontId="316" fillId="308" borderId="311" xfId="0" applyNumberFormat="1" applyFont="1" applyAlignment="1" applyFill="1" applyBorder="1">
      <alignment wrapText="1"/>
    </xf>
    <xf numFmtId="3" fontId="317" fillId="309" borderId="312" xfId="0" applyNumberFormat="1" applyFont="1" applyAlignment="1" applyFill="1" applyBorder="1">
      <alignment wrapText="1"/>
    </xf>
    <xf numFmtId="3" fontId="318" fillId="310" borderId="313" xfId="0" applyNumberFormat="1" applyFont="1" applyAlignment="1" applyFill="1" applyBorder="1">
      <alignment wrapText="1"/>
    </xf>
    <xf numFmtId="3" fontId="319" fillId="311" borderId="314" xfId="0" applyNumberFormat="1" applyFont="1" applyAlignment="1" applyFill="1" applyBorder="1">
      <alignment wrapText="1"/>
    </xf>
    <xf numFmtId="3" fontId="320" fillId="312" borderId="315" xfId="0" applyNumberFormat="1" applyFont="1" applyAlignment="1" applyFill="1" applyBorder="1">
      <alignment wrapText="1"/>
    </xf>
    <xf numFmtId="3" fontId="321" fillId="313" borderId="316" xfId="0" applyNumberFormat="1" applyFont="1" applyAlignment="1" applyFill="1" applyBorder="1">
      <alignment wrapText="1"/>
    </xf>
    <xf numFmtId="3" fontId="322" fillId="314" borderId="317" xfId="0" applyNumberFormat="1" applyFont="1" applyAlignment="1" applyFill="1" applyBorder="1">
      <alignment wrapText="1"/>
    </xf>
    <xf numFmtId="3" fontId="323" fillId="315" borderId="318" xfId="0" applyNumberFormat="1" applyFont="1" applyAlignment="1" applyFill="1" applyBorder="1">
      <alignment wrapText="1"/>
    </xf>
    <xf numFmtId="3" fontId="324" fillId="316" borderId="319" xfId="0" applyFont="1" applyAlignment="1" applyFill="1" applyBorder="1">
      <alignment vertical="center" wrapText="1"/>
    </xf>
    <xf numFmtId="3" fontId="325" fillId="317" borderId="320" xfId="0" applyFont="1" applyAlignment="1" applyFill="1" applyBorder="1">
      <alignment vertical="center" wrapText="1"/>
    </xf>
    <xf numFmtId="3" fontId="326" fillId="318" borderId="321" xfId="0" applyFont="1" applyAlignment="1" applyFill="1" applyBorder="1">
      <alignment vertical="center" wrapText="1"/>
    </xf>
    <xf numFmtId="3" fontId="327" fillId="319" borderId="322" xfId="0" applyFont="1" applyAlignment="1" applyFill="1" applyBorder="1">
      <alignment vertical="center" wrapText="1"/>
    </xf>
    <xf numFmtId="3" fontId="328" fillId="320" borderId="323" xfId="0" applyFont="1" applyAlignment="1" applyFill="1" applyBorder="1">
      <alignment vertical="center" wrapText="1"/>
    </xf>
    <xf numFmtId="3" fontId="329" fillId="321" borderId="324" xfId="0" applyNumberFormat="1" applyFont="1" applyAlignment="1" applyFill="1" applyBorder="1">
      <alignment wrapText="1"/>
    </xf>
    <xf numFmtId="3" fontId="330" fillId="322" borderId="325" xfId="0" applyNumberFormat="1" applyFont="1" applyAlignment="1" applyFill="1" applyBorder="1">
      <alignment wrapText="1"/>
    </xf>
    <xf numFmtId="3" fontId="331" fillId="323" borderId="326" xfId="0" applyNumberFormat="1" applyFont="1" applyAlignment="1" applyFill="1" applyBorder="1">
      <alignment wrapText="1"/>
    </xf>
    <xf numFmtId="3" fontId="332" fillId="324" borderId="327" xfId="0" applyNumberFormat="1" applyFont="1" applyAlignment="1" applyFill="1" applyBorder="1">
      <alignment wrapText="1"/>
    </xf>
    <xf numFmtId="3" fontId="333" fillId="325" borderId="328" xfId="0" applyNumberFormat="1" applyFont="1" applyAlignment="1" applyFill="1" applyBorder="1">
      <alignment wrapText="1"/>
    </xf>
    <xf numFmtId="3" fontId="334" fillId="326" borderId="329" xfId="0" applyNumberFormat="1" applyFont="1" applyAlignment="1" applyFill="1" applyBorder="1">
      <alignment wrapText="1"/>
    </xf>
    <xf numFmtId="3" fontId="335" fillId="327" borderId="330" xfId="0" applyNumberFormat="1" applyFont="1" applyAlignment="1" applyFill="1" applyBorder="1">
      <alignment wrapText="1"/>
    </xf>
    <xf numFmtId="3" fontId="336" fillId="328" borderId="331" xfId="0" applyNumberFormat="1" applyFont="1" applyAlignment="1" applyFill="1" applyBorder="1">
      <alignment wrapText="1"/>
    </xf>
    <xf numFmtId="3" fontId="337" fillId="329" borderId="332" xfId="0" applyNumberFormat="1" applyFont="1" applyAlignment="1" applyFill="1" applyBorder="1">
      <alignment wrapText="1"/>
    </xf>
    <xf numFmtId="3" fontId="338" fillId="330" borderId="333" xfId="0" applyNumberFormat="1" applyFont="1" applyAlignment="1" applyFill="1" applyBorder="1">
      <alignment wrapText="1"/>
    </xf>
    <xf numFmtId="3" fontId="339" fillId="331" borderId="334" xfId="0" applyNumberFormat="1" applyFont="1" applyAlignment="1" applyFill="1" applyBorder="1">
      <alignment wrapText="1"/>
    </xf>
    <xf numFmtId="3" fontId="340" fillId="332" borderId="335" xfId="0" applyNumberFormat="1" applyFont="1" applyAlignment="1" applyFill="1" applyBorder="1">
      <alignment wrapText="1"/>
    </xf>
    <xf numFmtId="3" fontId="341" fillId="333" borderId="336" xfId="0" applyNumberFormat="1" applyFont="1" applyAlignment="1" applyFill="1" applyBorder="1">
      <alignment wrapText="1"/>
    </xf>
    <xf numFmtId="3" fontId="342" fillId="334" borderId="337" xfId="0" applyNumberFormat="1" applyFont="1" applyAlignment="1" applyFill="1" applyBorder="1">
      <alignment wrapText="1"/>
    </xf>
    <xf numFmtId="3" fontId="343" fillId="335" borderId="338" xfId="0" applyNumberFormat="1" applyFont="1" applyAlignment="1" applyFill="1" applyBorder="1">
      <alignment wrapText="1"/>
    </xf>
    <xf numFmtId="3" fontId="344" fillId="336" borderId="339" xfId="0" applyFont="1" applyAlignment="1" applyFill="1" applyBorder="1">
      <alignment vertical="center" wrapText="1"/>
    </xf>
    <xf numFmtId="3" fontId="345" fillId="337" borderId="340" xfId="0" applyFont="1" applyAlignment="1" applyFill="1" applyBorder="1">
      <alignment vertical="center" wrapText="1"/>
    </xf>
    <xf numFmtId="3" fontId="346" fillId="338" borderId="341" xfId="0" applyFont="1" applyAlignment="1" applyFill="1" applyBorder="1">
      <alignment vertical="center" wrapText="1"/>
    </xf>
    <xf numFmtId="3" fontId="347" fillId="339" borderId="342" xfId="0" applyFont="1" applyAlignment="1" applyFill="1" applyBorder="1">
      <alignment vertical="center" wrapText="1"/>
    </xf>
    <xf numFmtId="3" fontId="348" fillId="340" borderId="343" xfId="0" applyFont="1" applyAlignment="1" applyFill="1" applyBorder="1">
      <alignment vertical="center" wrapText="1"/>
    </xf>
    <xf numFmtId="10" fontId="349" fillId="341" borderId="344" xfId="0" applyNumberFormat="1" applyFont="1" applyAlignment="1" applyFill="1" applyBorder="1">
      <alignment wrapText="1"/>
    </xf>
    <xf numFmtId="10" fontId="350" fillId="342" borderId="345" xfId="0" applyFont="1" applyBorder="1" applyAlignment="1" applyFill="1">
      <alignment wrapText="1"/>
    </xf>
    <xf numFmtId="10" fontId="351" fillId="343" borderId="346" xfId="0" applyFont="1" applyBorder="1" applyAlignment="1" applyFill="1">
      <alignment wrapText="1"/>
    </xf>
    <xf numFmtId="10" fontId="352" fillId="344" borderId="347" xfId="0" applyNumberFormat="1" applyFont="1" applyAlignment="1" applyFill="1" applyBorder="1">
      <alignment wrapText="1"/>
    </xf>
    <xf numFmtId="10" fontId="353" fillId="345" borderId="348" xfId="0" applyNumberFormat="1" applyFont="1" applyBorder="1" applyAlignment="1" applyFill="1">
      <alignment wrapText="1"/>
    </xf>
    <xf numFmtId="10" fontId="354" fillId="346" borderId="349" xfId="0" applyNumberFormat="1" applyFont="1" applyBorder="1" applyAlignment="1" applyFill="1">
      <alignment wrapText="1"/>
    </xf>
    <xf numFmtId="10" fontId="355" fillId="347" borderId="350" xfId="0" applyNumberFormat="1" applyFont="1" applyAlignment="1" applyFill="1" applyBorder="1">
      <alignment wrapText="1"/>
    </xf>
    <xf numFmtId="10" fontId="356" fillId="348" borderId="351" xfId="0" applyFont="1" applyBorder="1" applyAlignment="1" applyFill="1">
      <alignment wrapText="1"/>
    </xf>
    <xf numFmtId="10" fontId="357" fillId="349" borderId="352" xfId="0" applyNumberFormat="1" applyFont="1" applyAlignment="1" applyFill="1" applyBorder="1">
      <alignment wrapText="1"/>
    </xf>
    <xf numFmtId="10" fontId="358" fillId="350" borderId="353" xfId="0" applyNumberFormat="1" applyFont="1" applyAlignment="1" applyFill="1" applyBorder="1">
      <alignment wrapText="1"/>
    </xf>
    <xf numFmtId="10" fontId="359" fillId="351" borderId="354" xfId="0" applyNumberFormat="1" applyFont="1" applyBorder="1" applyAlignment="1" applyFill="1">
      <alignment wrapText="1"/>
    </xf>
    <xf numFmtId="10" fontId="360" fillId="352" borderId="355" xfId="0" applyNumberFormat="1" applyFont="1" applyBorder="1" applyAlignment="1" applyFill="1">
      <alignment wrapText="1"/>
    </xf>
    <xf numFmtId="10" fontId="361" fillId="353" borderId="356" xfId="0" applyNumberFormat="1" applyFont="1" applyAlignment="1" applyFill="1" applyBorder="1">
      <alignment wrapText="1"/>
    </xf>
    <xf numFmtId="10" fontId="362" fillId="354" borderId="357" xfId="0" applyNumberFormat="1" applyFont="1" applyAlignment="1" applyFill="1" applyBorder="1">
      <alignment wrapText="1"/>
    </xf>
    <xf numFmtId="10" fontId="363" fillId="355" borderId="358" xfId="0" applyNumberFormat="1" applyFont="1" applyAlignment="1" applyFill="1" applyBorder="1">
      <alignment wrapText="1"/>
    </xf>
    <xf numFmtId="10" fontId="364" fillId="356" borderId="359" xfId="0" applyFont="1" applyAlignment="1" applyFill="1" applyBorder="1">
      <alignment vertical="center"/>
    </xf>
    <xf numFmtId="10" fontId="365" fillId="357" borderId="360" xfId="0" applyFont="1" applyAlignment="1" applyFill="1" applyBorder="1">
      <alignment vertical="center"/>
    </xf>
    <xf numFmtId="10" fontId="366" fillId="358" borderId="361" xfId="0" applyFont="1" applyAlignment="1" applyFill="1" applyBorder="1">
      <alignment vertical="center"/>
    </xf>
    <xf numFmtId="10" fontId="367" fillId="359" borderId="362" xfId="0" applyFont="1" applyAlignment="1" applyFill="1" applyBorder="1">
      <alignment vertical="center"/>
    </xf>
    <xf numFmtId="10" fontId="368" fillId="360" borderId="363" xfId="0" applyFont="1" applyAlignment="1" applyFill="1" applyBorder="1">
      <alignment vertical="center"/>
    </xf>
    <xf numFmtId="3" fontId="369" fillId="361" borderId="364" xfId="0" applyNumberFormat="1" applyFont="1" applyAlignment="1" applyFill="1" applyBorder="1">
      <alignment wrapText="1"/>
    </xf>
    <xf numFmtId="3" fontId="370" fillId="362" borderId="365" xfId="0" applyNumberFormat="1" applyFont="1" applyAlignment="1" applyFill="1" applyBorder="1">
      <alignment wrapText="1"/>
    </xf>
    <xf numFmtId="3" fontId="371" fillId="363" borderId="366" xfId="0" applyNumberFormat="1" applyFont="1" applyAlignment="1" applyFill="1" applyBorder="1">
      <alignment wrapText="1"/>
    </xf>
    <xf numFmtId="3" fontId="372" fillId="364" borderId="367" xfId="0" applyNumberFormat="1" applyFont="1" applyAlignment="1" applyFill="1" applyBorder="1">
      <alignment wrapText="1"/>
    </xf>
    <xf numFmtId="3" fontId="373" fillId="365" borderId="368" xfId="0" applyNumberFormat="1" applyFont="1" applyAlignment="1" applyFill="1" applyBorder="1">
      <alignment wrapText="1"/>
    </xf>
    <xf numFmtId="3" fontId="374" fillId="366" borderId="369" xfId="0" applyNumberFormat="1" applyFont="1" applyAlignment="1" applyFill="1" applyBorder="1">
      <alignment wrapText="1"/>
    </xf>
    <xf numFmtId="3" fontId="375" fillId="367" borderId="370" xfId="0" applyNumberFormat="1" applyFont="1" applyAlignment="1" applyFill="1" applyBorder="1">
      <alignment wrapText="1"/>
    </xf>
    <xf numFmtId="3" fontId="376" fillId="368" borderId="371" xfId="0" applyNumberFormat="1" applyFont="1" applyAlignment="1" applyFill="1" applyBorder="1">
      <alignment wrapText="1"/>
    </xf>
    <xf numFmtId="3" fontId="377" fillId="369" borderId="372" xfId="0" applyNumberFormat="1" applyFont="1" applyAlignment="1" applyFill="1" applyBorder="1">
      <alignment wrapText="1"/>
    </xf>
    <xf numFmtId="3" fontId="378" fillId="370" borderId="373" xfId="0" applyNumberFormat="1" applyFont="1" applyAlignment="1" applyFill="1" applyBorder="1">
      <alignment wrapText="1"/>
    </xf>
    <xf numFmtId="3" fontId="379" fillId="371" borderId="374" xfId="0" applyNumberFormat="1" applyFont="1" applyAlignment="1" applyFill="1" applyBorder="1">
      <alignment wrapText="1"/>
    </xf>
    <xf numFmtId="3" fontId="380" fillId="372" borderId="375" xfId="0" applyNumberFormat="1" applyFont="1" applyAlignment="1" applyFill="1" applyBorder="1">
      <alignment wrapText="1"/>
    </xf>
    <xf numFmtId="3" fontId="381" fillId="373" borderId="376" xfId="0" applyNumberFormat="1" applyFont="1" applyAlignment="1" applyFill="1" applyBorder="1">
      <alignment wrapText="1"/>
    </xf>
    <xf numFmtId="3" fontId="382" fillId="374" borderId="377" xfId="0" applyNumberFormat="1" applyFont="1" applyAlignment="1" applyFill="1" applyBorder="1">
      <alignment wrapText="1"/>
    </xf>
    <xf numFmtId="3" fontId="383" fillId="375" borderId="378" xfId="0" applyNumberFormat="1" applyFont="1" applyAlignment="1" applyFill="1" applyBorder="1">
      <alignment wrapText="1"/>
    </xf>
    <xf numFmtId="3" fontId="384" fillId="376" borderId="379" xfId="0" applyFont="1" applyAlignment="1" applyFill="1" applyBorder="1">
      <alignment vertical="center"/>
    </xf>
    <xf numFmtId="3" fontId="385" fillId="377" borderId="380" xfId="0" applyFont="1" applyAlignment="1" applyFill="1" applyBorder="1">
      <alignment vertical="center"/>
    </xf>
    <xf numFmtId="3" fontId="386" fillId="378" borderId="381" xfId="0" applyFont="1" applyAlignment="1" applyFill="1" applyBorder="1">
      <alignment vertical="center"/>
    </xf>
    <xf numFmtId="3" fontId="387" fillId="379" borderId="382" xfId="0" applyFont="1" applyAlignment="1" applyFill="1" applyBorder="1">
      <alignment vertical="center"/>
    </xf>
    <xf numFmtId="3" fontId="388" fillId="380" borderId="383" xfId="0" applyFont="1" applyAlignment="1" applyFill="1" applyBorder="1">
      <alignment vertical="center"/>
    </xf>
    <xf numFmtId="10" fontId="389" fillId="381" borderId="384" xfId="0" applyNumberFormat="1" applyFont="1" applyAlignment="1" applyFill="1" applyBorder="1">
      <alignment wrapText="1"/>
    </xf>
    <xf numFmtId="10" fontId="390" fillId="382" borderId="385" xfId="0" applyFont="1" applyBorder="1" applyAlignment="1" applyFill="1">
      <alignment wrapText="1"/>
    </xf>
    <xf numFmtId="10" fontId="391" fillId="383" borderId="386" xfId="0" applyFont="1" applyBorder="1" applyAlignment="1" applyFill="1">
      <alignment wrapText="1"/>
    </xf>
    <xf numFmtId="10" fontId="392" fillId="384" borderId="387" xfId="0" applyNumberFormat="1" applyFont="1" applyAlignment="1" applyFill="1" applyBorder="1">
      <alignment wrapText="1"/>
    </xf>
    <xf numFmtId="10" fontId="393" fillId="385" borderId="388" xfId="0" applyNumberFormat="1" applyFont="1" applyBorder="1" applyAlignment="1" applyFill="1">
      <alignment wrapText="1"/>
    </xf>
    <xf numFmtId="10" fontId="394" fillId="386" borderId="389" xfId="0" applyNumberFormat="1" applyFont="1" applyBorder="1" applyAlignment="1" applyFill="1">
      <alignment wrapText="1"/>
    </xf>
    <xf numFmtId="10" fontId="395" fillId="387" borderId="390" xfId="0" applyNumberFormat="1" applyFont="1" applyAlignment="1" applyFill="1" applyBorder="1">
      <alignment wrapText="1"/>
    </xf>
    <xf numFmtId="10" fontId="396" fillId="388" borderId="391" xfId="0" applyFont="1" applyBorder="1" applyAlignment="1" applyFill="1">
      <alignment wrapText="1"/>
    </xf>
    <xf numFmtId="10" fontId="397" fillId="389" borderId="392" xfId="0" applyNumberFormat="1" applyFont="1" applyAlignment="1" applyFill="1" applyBorder="1">
      <alignment wrapText="1"/>
    </xf>
    <xf numFmtId="10" fontId="398" fillId="390" borderId="393" xfId="0" applyNumberFormat="1" applyFont="1" applyAlignment="1" applyFill="1" applyBorder="1">
      <alignment wrapText="1"/>
    </xf>
    <xf numFmtId="10" fontId="399" fillId="391" borderId="394" xfId="0" applyNumberFormat="1" applyFont="1" applyBorder="1" applyAlignment="1" applyFill="1">
      <alignment wrapText="1"/>
    </xf>
    <xf numFmtId="10" fontId="400" fillId="392" borderId="395" xfId="0" applyNumberFormat="1" applyFont="1" applyBorder="1" applyAlignment="1" applyFill="1">
      <alignment wrapText="1"/>
    </xf>
    <xf numFmtId="10" fontId="401" fillId="393" borderId="396" xfId="0" applyNumberFormat="1" applyFont="1" applyAlignment="1" applyFill="1" applyBorder="1">
      <alignment wrapText="1"/>
    </xf>
    <xf numFmtId="10" fontId="402" fillId="394" borderId="397" xfId="0" applyNumberFormat="1" applyFont="1" applyAlignment="1" applyFill="1" applyBorder="1">
      <alignment wrapText="1"/>
    </xf>
    <xf numFmtId="10" fontId="403" fillId="395" borderId="398" xfId="0" applyNumberFormat="1" applyFont="1" applyAlignment="1" applyFill="1" applyBorder="1">
      <alignment wrapText="1"/>
    </xf>
    <xf numFmtId="10" fontId="404" fillId="396" borderId="399" xfId="0" applyFont="1" applyAlignment="1" applyFill="1" applyBorder="1">
      <alignment vertical="center"/>
    </xf>
    <xf numFmtId="10" fontId="405" fillId="397" borderId="400" xfId="0" applyFont="1" applyAlignment="1" applyFill="1" applyBorder="1">
      <alignment vertical="center"/>
    </xf>
    <xf numFmtId="10" fontId="406" fillId="398" borderId="401" xfId="0" applyFont="1" applyAlignment="1" applyFill="1" applyBorder="1">
      <alignment vertical="center"/>
    </xf>
    <xf numFmtId="10" fontId="407" fillId="399" borderId="402" xfId="0" applyFont="1" applyAlignment="1" applyFill="1" applyBorder="1">
      <alignment vertical="center"/>
    </xf>
    <xf numFmtId="10" fontId="408" fillId="400" borderId="403" xfId="0" applyFont="1" applyAlignment="1" applyFill="1" applyBorder="1">
      <alignment vertical="center"/>
    </xf>
    <xf numFmtId="3" fontId="409" fillId="401" borderId="404" xfId="0" applyNumberFormat="1" applyFont="1" applyAlignment="1" applyFill="1" applyBorder="1">
      <alignment wrapText="1"/>
    </xf>
    <xf numFmtId="3" fontId="410" fillId="402" borderId="405" xfId="0" applyNumberFormat="1" applyFont="1" applyAlignment="1" applyFill="1" applyBorder="1">
      <alignment wrapText="1"/>
    </xf>
    <xf numFmtId="3" fontId="411" fillId="403" borderId="406" xfId="0" applyNumberFormat="1" applyFont="1" applyAlignment="1" applyFill="1" applyBorder="1">
      <alignment wrapText="1"/>
    </xf>
    <xf numFmtId="3" fontId="412" fillId="404" borderId="407" xfId="0" applyNumberFormat="1" applyFont="1" applyAlignment="1" applyFill="1" applyBorder="1">
      <alignment wrapText="1"/>
    </xf>
    <xf numFmtId="3" fontId="413" fillId="405" borderId="408" xfId="0" applyNumberFormat="1" applyFont="1" applyAlignment="1" applyFill="1" applyBorder="1">
      <alignment wrapText="1"/>
    </xf>
    <xf numFmtId="3" fontId="414" fillId="406" borderId="409" xfId="0" applyNumberFormat="1" applyFont="1" applyAlignment="1" applyFill="1" applyBorder="1">
      <alignment wrapText="1"/>
    </xf>
    <xf numFmtId="3" fontId="415" fillId="407" borderId="410" xfId="0" applyNumberFormat="1" applyFont="1" applyAlignment="1" applyFill="1" applyBorder="1">
      <alignment wrapText="1"/>
    </xf>
    <xf numFmtId="3" fontId="416" fillId="408" borderId="411" xfId="0" applyNumberFormat="1" applyFont="1" applyAlignment="1" applyFill="1" applyBorder="1">
      <alignment wrapText="1"/>
    </xf>
    <xf numFmtId="3" fontId="417" fillId="409" borderId="412" xfId="0" applyNumberFormat="1" applyFont="1" applyAlignment="1" applyFill="1" applyBorder="1">
      <alignment wrapText="1"/>
    </xf>
    <xf numFmtId="3" fontId="418" fillId="410" borderId="413" xfId="0" applyNumberFormat="1" applyFont="1" applyAlignment="1" applyFill="1" applyBorder="1">
      <alignment wrapText="1"/>
    </xf>
    <xf numFmtId="3" fontId="419" fillId="411" borderId="414" xfId="0" applyNumberFormat="1" applyFont="1" applyAlignment="1" applyFill="1" applyBorder="1">
      <alignment wrapText="1"/>
    </xf>
    <xf numFmtId="3" fontId="420" fillId="412" borderId="415" xfId="0" applyNumberFormat="1" applyFont="1" applyAlignment="1" applyFill="1" applyBorder="1">
      <alignment wrapText="1"/>
    </xf>
    <xf numFmtId="3" fontId="421" fillId="413" borderId="416" xfId="0" applyNumberFormat="1" applyFont="1" applyAlignment="1" applyFill="1" applyBorder="1">
      <alignment wrapText="1"/>
    </xf>
    <xf numFmtId="3" fontId="422" fillId="414" borderId="417" xfId="0" applyNumberFormat="1" applyFont="1" applyAlignment="1" applyFill="1" applyBorder="1">
      <alignment wrapText="1"/>
    </xf>
    <xf numFmtId="3" fontId="423" fillId="415" borderId="418" xfId="0" applyNumberFormat="1" applyFont="1" applyAlignment="1" applyFill="1" applyBorder="1">
      <alignment wrapText="1"/>
    </xf>
    <xf numFmtId="3" fontId="424" fillId="416" borderId="419" xfId="0" applyFont="1" applyAlignment="1" applyFill="1" applyBorder="1">
      <alignment vertical="center"/>
    </xf>
    <xf numFmtId="3" fontId="425" fillId="417" borderId="420" xfId="0" applyFont="1" applyAlignment="1" applyFill="1" applyBorder="1">
      <alignment vertical="center"/>
    </xf>
    <xf numFmtId="3" fontId="426" fillId="418" borderId="421" xfId="0" applyFont="1" applyAlignment="1" applyFill="1" applyBorder="1">
      <alignment vertical="center"/>
    </xf>
    <xf numFmtId="3" fontId="427" fillId="419" borderId="422" xfId="0" applyFont="1" applyAlignment="1" applyFill="1" applyBorder="1">
      <alignment vertical="center"/>
    </xf>
    <xf numFmtId="3" fontId="428" fillId="420" borderId="423" xfId="0" applyFont="1" applyAlignment="1" applyFill="1" applyBorder="1">
      <alignment vertical="center"/>
    </xf>
    <xf numFmtId="3" fontId="429" fillId="421" borderId="424" xfId="0" applyNumberFormat="1" applyFont="1" applyAlignment="1" applyFill="1" applyBorder="1">
      <alignment wrapText="1"/>
    </xf>
    <xf numFmtId="3" fontId="430" fillId="422" borderId="425" xfId="0" applyNumberFormat="1" applyFont="1" applyAlignment="1" applyFill="1" applyBorder="1">
      <alignment wrapText="1"/>
    </xf>
    <xf numFmtId="3" fontId="431" fillId="423" borderId="426" xfId="0" applyNumberFormat="1" applyFont="1" applyAlignment="1" applyFill="1" applyBorder="1">
      <alignment wrapText="1"/>
    </xf>
    <xf numFmtId="3" fontId="432" fillId="424" borderId="427" xfId="0" applyNumberFormat="1" applyFont="1" applyAlignment="1" applyFill="1" applyBorder="1">
      <alignment wrapText="1"/>
    </xf>
    <xf numFmtId="3" fontId="433" fillId="425" borderId="428" xfId="0" applyNumberFormat="1" applyFont="1" applyAlignment="1" applyFill="1" applyBorder="1">
      <alignment wrapText="1"/>
    </xf>
    <xf numFmtId="3" fontId="434" fillId="426" borderId="429" xfId="0" applyNumberFormat="1" applyFont="1" applyAlignment="1" applyFill="1" applyBorder="1">
      <alignment wrapText="1"/>
    </xf>
    <xf numFmtId="3" fontId="435" fillId="427" borderId="430" xfId="0" applyNumberFormat="1" applyFont="1" applyAlignment="1" applyFill="1" applyBorder="1">
      <alignment wrapText="1"/>
    </xf>
    <xf numFmtId="3" fontId="436" fillId="428" borderId="431" xfId="0" applyNumberFormat="1" applyFont="1" applyAlignment="1" applyFill="1" applyBorder="1">
      <alignment wrapText="1"/>
    </xf>
    <xf numFmtId="3" fontId="437" fillId="429" borderId="432" xfId="0" applyNumberFormat="1" applyFont="1" applyAlignment="1" applyFill="1" applyBorder="1">
      <alignment wrapText="1"/>
    </xf>
    <xf numFmtId="3" fontId="438" fillId="430" borderId="433" xfId="0" applyNumberFormat="1" applyFont="1" applyAlignment="1" applyFill="1" applyBorder="1">
      <alignment wrapText="1"/>
    </xf>
    <xf numFmtId="3" fontId="439" fillId="431" borderId="434" xfId="0" applyNumberFormat="1" applyFont="1" applyAlignment="1" applyFill="1" applyBorder="1">
      <alignment wrapText="1"/>
    </xf>
    <xf numFmtId="3" fontId="440" fillId="432" borderId="435" xfId="0" applyNumberFormat="1" applyFont="1" applyAlignment="1" applyFill="1" applyBorder="1">
      <alignment wrapText="1"/>
    </xf>
    <xf numFmtId="3" fontId="441" fillId="433" borderId="436" xfId="0" applyNumberFormat="1" applyFont="1" applyAlignment="1" applyFill="1" applyBorder="1">
      <alignment wrapText="1"/>
    </xf>
    <xf numFmtId="3" fontId="442" fillId="434" borderId="437" xfId="0" applyNumberFormat="1" applyFont="1" applyAlignment="1" applyFill="1" applyBorder="1">
      <alignment wrapText="1"/>
    </xf>
    <xf numFmtId="3" fontId="443" fillId="435" borderId="438" xfId="0" applyNumberFormat="1" applyFont="1" applyAlignment="1" applyFill="1" applyBorder="1">
      <alignment wrapText="1"/>
    </xf>
    <xf numFmtId="3" fontId="444" fillId="436" borderId="439" xfId="0" applyFont="1" applyAlignment="1" applyFill="1" applyBorder="1">
      <alignment vertical="center"/>
    </xf>
    <xf numFmtId="3" fontId="445" fillId="437" borderId="440" xfId="0" applyFont="1" applyAlignment="1" applyFill="1" applyBorder="1">
      <alignment vertical="center"/>
    </xf>
    <xf numFmtId="3" fontId="446" fillId="438" borderId="441" xfId="0" applyFont="1" applyAlignment="1" applyFill="1" applyBorder="1">
      <alignment vertical="center"/>
    </xf>
    <xf numFmtId="3" fontId="447" fillId="439" borderId="442" xfId="0" applyFont="1" applyAlignment="1" applyFill="1" applyBorder="1">
      <alignment vertical="center"/>
    </xf>
    <xf numFmtId="3" fontId="448" fillId="440" borderId="443" xfId="0" applyFont="1" applyAlignment="1" applyFill="1" applyBorder="1">
      <alignment vertical="center"/>
    </xf>
    <xf numFmtId="3" fontId="449" fillId="441" borderId="444" xfId="0" applyNumberFormat="1" applyFont="1" applyAlignment="1" applyFill="1" applyBorder="1">
      <alignment vertical="center" wrapText="1"/>
    </xf>
    <xf numFmtId="3" fontId="450" fillId="442" borderId="445" xfId="0" applyNumberFormat="1" applyFont="1" applyAlignment="1" applyFill="1" applyBorder="1">
      <alignment vertical="center" wrapText="1"/>
    </xf>
    <xf numFmtId="3" fontId="451" fillId="443" borderId="446" xfId="0" applyNumberFormat="1" applyFont="1" applyAlignment="1" applyFill="1" applyBorder="1">
      <alignment vertical="center" wrapText="1"/>
    </xf>
    <xf numFmtId="3" fontId="452" fillId="444" borderId="447" xfId="0" applyNumberFormat="1" applyFont="1" applyAlignment="1" applyFill="1" applyBorder="1">
      <alignment vertical="center" wrapText="1"/>
    </xf>
    <xf numFmtId="3" fontId="453" fillId="445" borderId="448" xfId="0" applyNumberFormat="1" applyFont="1" applyAlignment="1" applyFill="1" applyBorder="1">
      <alignment vertical="center" wrapText="1"/>
    </xf>
    <xf numFmtId="3" fontId="454" fillId="446" borderId="449" xfId="0" applyNumberFormat="1" applyFont="1" applyAlignment="1" applyFill="1" applyBorder="1">
      <alignment vertical="center" wrapText="1"/>
    </xf>
    <xf numFmtId="3" fontId="455" fillId="447" borderId="450" xfId="0" applyNumberFormat="1" applyFont="1" applyAlignment="1" applyFill="1" applyBorder="1">
      <alignment vertical="center" wrapText="1"/>
    </xf>
    <xf numFmtId="3" fontId="456" fillId="448" borderId="451" xfId="0" applyNumberFormat="1" applyFont="1" applyAlignment="1" applyFill="1" applyBorder="1">
      <alignment vertical="center" wrapText="1"/>
    </xf>
    <xf numFmtId="3" fontId="457" fillId="449" borderId="452" xfId="0" applyNumberFormat="1" applyFont="1" applyAlignment="1" applyFill="1" applyBorder="1">
      <alignment vertical="center" wrapText="1"/>
    </xf>
    <xf numFmtId="3" fontId="458" fillId="450" borderId="453" xfId="0" applyNumberFormat="1" applyFont="1" applyAlignment="1" applyFill="1" applyBorder="1">
      <alignment vertical="center" wrapText="1"/>
    </xf>
    <xf numFmtId="10" fontId="459" fillId="451" borderId="454" xfId="0" applyNumberFormat="1" applyFont="1" applyAlignment="1" applyFill="1" applyBorder="1">
      <alignment vertical="center" wrapText="1"/>
    </xf>
    <xf numFmtId="10" fontId="460" fillId="452" borderId="455" xfId="0" applyNumberFormat="1" applyFont="1" applyBorder="1" applyAlignment="1" applyFill="1">
      <alignment vertical="center" wrapText="1"/>
    </xf>
    <xf numFmtId="10" fontId="461" fillId="453" borderId="456" xfId="0" applyNumberFormat="1" applyFont="1" applyAlignment="1" applyFill="1" applyBorder="1">
      <alignment vertical="center" wrapText="1"/>
    </xf>
    <xf numFmtId="10" fontId="462" fillId="454" borderId="457" xfId="0" applyNumberFormat="1" applyFont="1" applyAlignment="1" applyFill="1" applyBorder="1">
      <alignment vertical="center" wrapText="1"/>
    </xf>
    <xf numFmtId="10" fontId="463" fillId="455" borderId="458" xfId="0" applyNumberFormat="1" applyFont="1" applyBorder="1" applyAlignment="1" applyFill="1">
      <alignment vertical="center" wrapText="1"/>
    </xf>
    <xf numFmtId="10" fontId="464" fillId="456" borderId="459" xfId="0" applyNumberFormat="1" applyFont="1" applyBorder="1" applyAlignment="1" applyFill="1">
      <alignment vertical="center" wrapText="1"/>
    </xf>
    <xf numFmtId="10" fontId="465" fillId="457" borderId="460" xfId="0" applyNumberFormat="1" applyFont="1" applyBorder="1" applyAlignment="1" applyFill="1">
      <alignment vertical="center" wrapText="1"/>
    </xf>
    <xf numFmtId="10" fontId="466" fillId="458" borderId="461" xfId="0" applyNumberFormat="1" applyFont="1" applyBorder="1" applyAlignment="1" applyFill="1">
      <alignment vertical="center" wrapText="1"/>
    </xf>
    <xf numFmtId="10" fontId="467" fillId="459" borderId="462" xfId="0" applyNumberFormat="1" applyFont="1" applyBorder="1" applyAlignment="1" applyFill="1">
      <alignment vertical="center" wrapText="1"/>
    </xf>
    <xf numFmtId="10" fontId="468" fillId="460" borderId="463" xfId="0" applyNumberFormat="1" applyFont="1" applyBorder="1" applyAlignment="1" applyFill="1">
      <alignment vertical="center" wrapText="1"/>
    </xf>
    <xf numFmtId="3" fontId="469" fillId="461" borderId="464" xfId="0" applyNumberFormat="1" applyFont="1" applyAlignment="1" applyFill="1" applyBorder="1">
      <alignment vertical="center" wrapText="1"/>
    </xf>
    <xf numFmtId="3" fontId="470" fillId="462" borderId="465" xfId="0" applyNumberFormat="1" applyFont="1" applyAlignment="1" applyFill="1" applyBorder="1">
      <alignment vertical="center" wrapText="1"/>
    </xf>
    <xf numFmtId="3" fontId="471" fillId="463" borderId="466" xfId="0" applyNumberFormat="1" applyFont="1" applyAlignment="1" applyFill="1" applyBorder="1">
      <alignment vertical="center" wrapText="1"/>
    </xf>
    <xf numFmtId="3" fontId="472" fillId="464" borderId="467" xfId="0" applyNumberFormat="1" applyFont="1" applyAlignment="1" applyFill="1" applyBorder="1">
      <alignment vertical="center" wrapText="1"/>
    </xf>
    <xf numFmtId="3" fontId="473" fillId="465" borderId="468" xfId="0" applyNumberFormat="1" applyFont="1" applyAlignment="1" applyFill="1" applyBorder="1">
      <alignment vertical="center" wrapText="1"/>
    </xf>
    <xf numFmtId="3" fontId="474" fillId="466" borderId="469" xfId="0" applyNumberFormat="1" applyFont="1" applyAlignment="1" applyFill="1" applyBorder="1">
      <alignment vertical="center" wrapText="1"/>
    </xf>
    <xf numFmtId="3" fontId="475" fillId="467" borderId="470" xfId="0" applyNumberFormat="1" applyFont="1" applyAlignment="1" applyFill="1" applyBorder="1">
      <alignment vertical="center" wrapText="1"/>
    </xf>
    <xf numFmtId="3" fontId="476" fillId="468" borderId="471" xfId="0" applyNumberFormat="1" applyFont="1" applyAlignment="1" applyFill="1" applyBorder="1">
      <alignment vertical="center" wrapText="1"/>
    </xf>
    <xf numFmtId="3" fontId="477" fillId="469" borderId="472" xfId="0" applyNumberFormat="1" applyFont="1" applyAlignment="1" applyFill="1" applyBorder="1">
      <alignment vertical="center" wrapText="1"/>
    </xf>
    <xf numFmtId="3" fontId="478" fillId="470" borderId="473" xfId="0" applyNumberFormat="1" applyFont="1" applyAlignment="1" applyFill="1" applyBorder="1">
      <alignment vertical="center" wrapText="1"/>
    </xf>
    <xf numFmtId="10" fontId="479" fillId="471" borderId="474" xfId="0" applyNumberFormat="1" applyFont="1" applyAlignment="1" applyFill="1" applyBorder="1">
      <alignment vertical="center" wrapText="1"/>
    </xf>
    <xf numFmtId="10" fontId="480" fillId="472" borderId="475" xfId="0" applyNumberFormat="1" applyFont="1" applyBorder="1" applyAlignment="1" applyFill="1">
      <alignment vertical="center" wrapText="1"/>
    </xf>
    <xf numFmtId="10" fontId="481" fillId="473" borderId="476" xfId="0" applyNumberFormat="1" applyFont="1" applyAlignment="1" applyFill="1" applyBorder="1">
      <alignment vertical="center" wrapText="1"/>
    </xf>
    <xf numFmtId="10" fontId="482" fillId="474" borderId="477" xfId="0" applyNumberFormat="1" applyFont="1" applyAlignment="1" applyFill="1" applyBorder="1">
      <alignment vertical="center" wrapText="1"/>
    </xf>
    <xf numFmtId="10" fontId="483" fillId="475" borderId="478" xfId="0" applyNumberFormat="1" applyFont="1" applyBorder="1" applyAlignment="1" applyFill="1">
      <alignment vertical="center" wrapText="1"/>
    </xf>
    <xf numFmtId="10" fontId="484" fillId="476" borderId="479" xfId="0" applyNumberFormat="1" applyFont="1" applyBorder="1" applyAlignment="1" applyFill="1">
      <alignment vertical="center" wrapText="1"/>
    </xf>
    <xf numFmtId="10" fontId="485" fillId="477" borderId="480" xfId="0" applyNumberFormat="1" applyFont="1" applyBorder="1" applyAlignment="1" applyFill="1">
      <alignment vertical="center" wrapText="1"/>
    </xf>
    <xf numFmtId="10" fontId="486" fillId="478" borderId="481" xfId="0" applyNumberFormat="1" applyFont="1" applyBorder="1" applyAlignment="1" applyFill="1">
      <alignment vertical="center" wrapText="1"/>
    </xf>
    <xf numFmtId="10" fontId="487" fillId="479" borderId="482" xfId="0" applyNumberFormat="1" applyFont="1" applyBorder="1" applyAlignment="1" applyFill="1">
      <alignment vertical="center" wrapText="1"/>
    </xf>
    <xf numFmtId="10" fontId="488" fillId="480" borderId="483" xfId="0" applyNumberFormat="1" applyFont="1" applyBorder="1" applyAlignment="1" applyFill="1">
      <alignment vertical="center" wrapText="1"/>
    </xf>
    <xf numFmtId="3" fontId="489" fillId="481" borderId="484" xfId="0" applyNumberFormat="1" applyFont="1" applyAlignment="1" applyFill="1" applyBorder="1">
      <alignment vertical="center" wrapText="1"/>
    </xf>
    <xf numFmtId="3" fontId="490" fillId="482" borderId="485" xfId="0" applyNumberFormat="1" applyFont="1" applyAlignment="1" applyFill="1" applyBorder="1">
      <alignment vertical="center" wrapText="1"/>
    </xf>
    <xf numFmtId="3" fontId="491" fillId="483" borderId="486" xfId="0" applyNumberFormat="1" applyFont="1" applyAlignment="1" applyFill="1" applyBorder="1">
      <alignment vertical="center" wrapText="1"/>
    </xf>
    <xf numFmtId="3" fontId="492" fillId="484" borderId="487" xfId="0" applyNumberFormat="1" applyFont="1" applyAlignment="1" applyFill="1" applyBorder="1">
      <alignment vertical="center" wrapText="1"/>
    </xf>
    <xf numFmtId="3" fontId="493" fillId="485" borderId="488" xfId="0" applyNumberFormat="1" applyFont="1" applyAlignment="1" applyFill="1" applyBorder="1">
      <alignment vertical="center" wrapText="1"/>
    </xf>
    <xf numFmtId="3" fontId="494" fillId="486" borderId="489" xfId="0" applyNumberFormat="1" applyFont="1" applyAlignment="1" applyFill="1" applyBorder="1">
      <alignment vertical="center" wrapText="1"/>
    </xf>
    <xf numFmtId="3" fontId="495" fillId="487" borderId="490" xfId="0" applyNumberFormat="1" applyFont="1" applyAlignment="1" applyFill="1" applyBorder="1">
      <alignment vertical="center" wrapText="1"/>
    </xf>
    <xf numFmtId="3" fontId="496" fillId="488" borderId="491" xfId="0" applyNumberFormat="1" applyFont="1" applyAlignment="1" applyFill="1" applyBorder="1">
      <alignment vertical="center" wrapText="1"/>
    </xf>
    <xf numFmtId="3" fontId="497" fillId="489" borderId="492" xfId="0" applyNumberFormat="1" applyFont="1" applyAlignment="1" applyFill="1" applyBorder="1">
      <alignment vertical="center" wrapText="1"/>
    </xf>
    <xf numFmtId="3" fontId="498" fillId="490" borderId="493" xfId="0" applyNumberFormat="1" applyFont="1" applyAlignment="1" applyFill="1" applyBorder="1">
      <alignment vertical="center" wrapText="1"/>
    </xf>
    <xf numFmtId="3" fontId="499" fillId="491" borderId="494" xfId="0" applyNumberFormat="1" applyFont="1" applyAlignment="1" applyFill="1" applyBorder="1">
      <alignment vertical="center" wrapText="1"/>
    </xf>
    <xf numFmtId="3" fontId="500" fillId="492" borderId="495" xfId="0" applyNumberFormat="1" applyFont="1" applyAlignment="1" applyFill="1" applyBorder="1">
      <alignment vertical="center" wrapText="1"/>
    </xf>
    <xf numFmtId="3" fontId="501" fillId="493" borderId="496" xfId="0" applyNumberFormat="1" applyFont="1" applyAlignment="1" applyFill="1" applyBorder="1">
      <alignment vertical="center" wrapText="1"/>
    </xf>
    <xf numFmtId="3" fontId="502" fillId="494" borderId="497" xfId="0" applyNumberFormat="1" applyFont="1" applyAlignment="1" applyFill="1" applyBorder="1">
      <alignment vertical="center" wrapText="1"/>
    </xf>
    <xf numFmtId="3" fontId="503" fillId="495" borderId="498" xfId="0" applyNumberFormat="1" applyFont="1" applyAlignment="1" applyFill="1" applyBorder="1">
      <alignment vertical="center" wrapText="1"/>
    </xf>
    <xf numFmtId="3" fontId="504" fillId="496" borderId="499" xfId="0" applyNumberFormat="1" applyFont="1" applyAlignment="1" applyFill="1" applyBorder="1">
      <alignment vertical="center" wrapText="1"/>
    </xf>
    <xf numFmtId="3" fontId="505" fillId="497" borderId="500" xfId="0" applyNumberFormat="1" applyFont="1" applyAlignment="1" applyFill="1" applyBorder="1">
      <alignment vertical="center" wrapText="1"/>
    </xf>
    <xf numFmtId="3" fontId="506" fillId="498" borderId="501" xfId="0" applyNumberFormat="1" applyFont="1" applyAlignment="1" applyFill="1" applyBorder="1">
      <alignment vertical="center" wrapText="1"/>
    </xf>
    <xf numFmtId="3" fontId="507" fillId="499" borderId="502" xfId="0" applyNumberFormat="1" applyFont="1" applyAlignment="1" applyFill="1" applyBorder="1">
      <alignment vertical="center" wrapText="1"/>
    </xf>
    <xf numFmtId="3" fontId="508" fillId="500" borderId="503" xfId="0" applyNumberFormat="1" applyFont="1" applyAlignment="1" applyFill="1" applyBorder="1">
      <alignment vertical="center" wrapText="1"/>
    </xf>
    <xf numFmtId="3" fontId="509" fillId="501" borderId="504" xfId="0" applyNumberFormat="1" applyFont="1" applyFill="1" applyBorder="1"/>
    <xf numFmtId="3" fontId="510" fillId="502" borderId="505" xfId="0" applyNumberFormat="1" applyFont="1" applyFill="1" applyBorder="1"/>
    <xf numFmtId="3" fontId="511" fillId="503" borderId="506" xfId="0" applyNumberFormat="1" applyFont="1" applyFill="1" applyBorder="1"/>
    <xf numFmtId="3" fontId="512" fillId="504" borderId="507" xfId="0" applyNumberFormat="1" applyFont="1" applyFill="1" applyBorder="1"/>
    <xf numFmtId="3" fontId="513" fillId="505" borderId="508" xfId="0" applyNumberFormat="1" applyFont="1" applyFill="1" applyBorder="1"/>
    <xf numFmtId="3" fontId="514" fillId="506" borderId="509" xfId="0" applyNumberFormat="1" applyFont="1" applyFill="1" applyBorder="1"/>
    <xf numFmtId="3" fontId="515" fillId="507" borderId="510" xfId="0" applyNumberFormat="1" applyFont="1" applyFill="1" applyBorder="1"/>
    <xf numFmtId="3" fontId="516" fillId="508" borderId="511" xfId="0" applyFont="1" applyFill="1" applyBorder="1"/>
    <xf numFmtId="3" fontId="517" fillId="509" borderId="512" xfId="0" applyFont="1" applyFill="1" applyBorder="1"/>
    <xf numFmtId="3" fontId="518" fillId="510" borderId="513" xfId="0" applyFont="1" applyFill="1" applyBorder="1"/>
    <xf numFmtId="10" fontId="519" fillId="511" borderId="514" xfId="0" applyNumberFormat="1" applyFont="1" applyFill="1" applyBorder="1"/>
    <xf numFmtId="10" fontId="520" fillId="512" borderId="515" xfId="0" applyNumberFormat="1" applyFont="1" applyFill="1" applyBorder="1"/>
    <xf numFmtId="10" fontId="521" fillId="513" borderId="516" xfId="0" applyNumberFormat="1" applyFont="1" applyFill="1" applyBorder="1"/>
    <xf numFmtId="10" fontId="522" fillId="514" borderId="517" xfId="0" applyNumberFormat="1" applyFont="1" applyFill="1" applyBorder="1"/>
    <xf numFmtId="10" fontId="523" fillId="515" borderId="518" xfId="0" applyNumberFormat="1" applyFont="1" applyBorder="1" applyFill="1"/>
    <xf numFmtId="10" fontId="524" fillId="516" borderId="519" xfId="0" applyNumberFormat="1" applyFont="1" applyFill="1" applyBorder="1"/>
    <xf numFmtId="10" fontId="525" fillId="517" borderId="520" xfId="0" applyNumberFormat="1" applyFont="1" applyFill="1" applyBorder="1"/>
    <xf numFmtId="10" fontId="526" fillId="518" borderId="521" xfId="0" applyFont="1" applyFill="1" applyBorder="1"/>
    <xf numFmtId="10" fontId="527" fillId="519" borderId="522" xfId="0" applyFont="1" applyFill="1" applyBorder="1"/>
    <xf numFmtId="10" fontId="528" fillId="520" borderId="523" xfId="0" applyFont="1" applyFill="1" applyBorder="1"/>
    <xf numFmtId="3" fontId="529" fillId="521" borderId="524" xfId="0" applyNumberFormat="1" applyFont="1" applyFill="1" applyBorder="1"/>
    <xf numFmtId="3" fontId="530" fillId="522" borderId="525" xfId="0" applyNumberFormat="1" applyFont="1" applyFill="1" applyBorder="1"/>
    <xf numFmtId="3" fontId="531" fillId="523" borderId="526" xfId="0" applyNumberFormat="1" applyFont="1" applyFill="1" applyBorder="1"/>
    <xf numFmtId="3" fontId="532" fillId="524" borderId="527" xfId="0" applyNumberFormat="1" applyFont="1" applyFill="1" applyBorder="1"/>
    <xf numFmtId="3" fontId="533" fillId="525" borderId="528" xfId="0" applyNumberFormat="1" applyFont="1" applyFill="1" applyBorder="1"/>
    <xf numFmtId="3" fontId="534" fillId="526" borderId="529" xfId="0" applyNumberFormat="1" applyFont="1" applyFill="1" applyBorder="1"/>
    <xf numFmtId="3" fontId="535" fillId="527" borderId="530" xfId="0" applyNumberFormat="1" applyFont="1" applyFill="1" applyBorder="1"/>
    <xf numFmtId="3" fontId="536" fillId="528" borderId="531" xfId="0" applyFont="1" applyFill="1" applyBorder="1"/>
    <xf numFmtId="3" fontId="537" fillId="529" borderId="532" xfId="0" applyFont="1" applyFill="1" applyBorder="1"/>
    <xf numFmtId="3" fontId="538" fillId="530" borderId="533" xfId="0" applyFont="1" applyFill="1" applyBorder="1"/>
    <xf numFmtId="10" fontId="539" fillId="531" borderId="534" xfId="0" applyNumberFormat="1" applyFont="1" applyFill="1" applyBorder="1"/>
    <xf numFmtId="10" fontId="540" fillId="532" borderId="535" xfId="0" applyNumberFormat="1" applyFont="1" applyFill="1" applyBorder="1"/>
    <xf numFmtId="10" fontId="541" fillId="533" borderId="536" xfId="0" applyNumberFormat="1" applyFont="1" applyFill="1" applyBorder="1"/>
    <xf numFmtId="10" fontId="542" fillId="534" borderId="537" xfId="0" applyNumberFormat="1" applyFont="1" applyFill="1" applyBorder="1"/>
    <xf numFmtId="10" fontId="543" fillId="535" borderId="538" xfId="0" applyNumberFormat="1" applyFont="1" applyBorder="1" applyFill="1"/>
    <xf numFmtId="10" fontId="544" fillId="536" borderId="539" xfId="0" applyNumberFormat="1" applyFont="1" applyFill="1" applyBorder="1"/>
    <xf numFmtId="10" fontId="545" fillId="537" borderId="540" xfId="0" applyNumberFormat="1" applyFont="1" applyFill="1" applyBorder="1"/>
    <xf numFmtId="10" fontId="546" fillId="538" borderId="541" xfId="0" applyFont="1" applyFill="1" applyBorder="1"/>
    <xf numFmtId="10" fontId="547" fillId="539" borderId="542" xfId="0" applyFont="1" applyFill="1" applyBorder="1"/>
    <xf numFmtId="10" fontId="548" fillId="540" borderId="543" xfId="0" applyFont="1" applyFill="1" applyBorder="1"/>
    <xf numFmtId="3" fontId="549" fillId="541" borderId="544" xfId="0" applyNumberFormat="1" applyFont="1" applyFill="1" applyBorder="1"/>
    <xf numFmtId="3" fontId="550" fillId="542" borderId="545" xfId="0" applyNumberFormat="1" applyFont="1" applyFill="1" applyBorder="1"/>
    <xf numFmtId="3" fontId="551" fillId="543" borderId="546" xfId="0" applyNumberFormat="1" applyFont="1" applyFill="1" applyBorder="1"/>
    <xf numFmtId="3" fontId="552" fillId="544" borderId="547" xfId="0" applyNumberFormat="1" applyFont="1" applyFill="1" applyBorder="1"/>
    <xf numFmtId="3" fontId="553" fillId="545" borderId="548" xfId="0" applyNumberFormat="1" applyFont="1" applyFill="1" applyBorder="1"/>
    <xf numFmtId="3" fontId="554" fillId="546" borderId="549" xfId="0" applyNumberFormat="1" applyFont="1" applyFill="1" applyBorder="1"/>
    <xf numFmtId="3" fontId="555" fillId="547" borderId="550" xfId="0" applyNumberFormat="1" applyFont="1" applyFill="1" applyBorder="1"/>
    <xf numFmtId="3" fontId="556" fillId="548" borderId="551" xfId="0" applyFont="1" applyFill="1" applyBorder="1"/>
    <xf numFmtId="3" fontId="557" fillId="549" borderId="552" xfId="0" applyFont="1" applyFill="1" applyBorder="1"/>
    <xf numFmtId="3" fontId="558" fillId="550" borderId="553" xfId="0" applyFont="1" applyFill="1" applyBorder="1"/>
    <xf numFmtId="3" fontId="559" fillId="551" borderId="554" xfId="0" applyNumberFormat="1" applyFont="1" applyFill="1" applyBorder="1"/>
    <xf numFmtId="3" fontId="560" fillId="552" borderId="555" xfId="0" applyNumberFormat="1" applyFont="1" applyFill="1" applyBorder="1"/>
    <xf numFmtId="3" fontId="561" fillId="553" borderId="556" xfId="0" applyNumberFormat="1" applyFont="1" applyFill="1" applyBorder="1"/>
    <xf numFmtId="3" fontId="562" fillId="554" borderId="557" xfId="0" applyNumberFormat="1" applyFont="1" applyFill="1" applyBorder="1"/>
    <xf numFmtId="3" fontId="563" fillId="555" borderId="558" xfId="0" applyNumberFormat="1" applyFont="1" applyFill="1" applyBorder="1"/>
    <xf numFmtId="3" fontId="564" fillId="556" borderId="559" xfId="0" applyNumberFormat="1" applyFont="1" applyFill="1" applyBorder="1"/>
    <xf numFmtId="3" fontId="565" fillId="557" borderId="560" xfId="0" applyNumberFormat="1" applyFont="1" applyFill="1" applyBorder="1"/>
    <xf numFmtId="3" fontId="566" fillId="558" borderId="561" xfId="0" applyFont="1" applyFill="1" applyBorder="1"/>
    <xf numFmtId="3" fontId="567" fillId="559" borderId="562" xfId="0" applyFont="1" applyFill="1" applyBorder="1"/>
    <xf numFmtId="3" fontId="568" fillId="560" borderId="56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Doanh thu theo sàn TMĐT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'Doanh số theo TMĐT'!$A$5:$A$6</c:f>
              <c:strCache>
                <c:ptCount val="2"/>
                <c:pt idx="0">
                  <c:v>Shopee</c:v>
                </c:pt>
                <c:pt idx="1">
                  <c:v>Tiktok</c:v>
                </c:pt>
              </c:strCache>
            </c:strRef>
          </c:cat>
          <c:val>
            <c:numRef>
              <c:f>'Doanh số theo TMĐT'!$B$5:$B$6</c:f>
              <c:numCache>
                <c:ptCount val="2"/>
                <c:pt idx="0">
                  <c:v>159400000000</c:v>
                </c:pt>
                <c:pt idx="1">
                  <c:v>338100000000</c:v>
                </c:pt>
              </c:numCache>
            </c:numRef>
          </c:val>
          <c:extLst>
            <c:ext xmlns:c16="http://schemas.microsoft.com/office/drawing/2014/chart" uri="{C3380CC4-5D6E-409C-BE32-E72D297353CC}">
              <c16:uniqueId val="{00000000-1F41-4E78-9F67-F74E37EBBE2D}"/>
            </c:ext>
          </c:extLst>
        </c:ser>
        <c:dLbls>
          <c:dLblPos val="outEnd"/>
          <c:showLegendKey val="0"/>
          <c:showVal val="1"/>
          <c:showCatName val="0"/>
          <c:showSerName val="0"/>
          <c:showPercent val="0"/>
          <c:showBubbleSize val="0"/>
        </c:dLbls>
        <c:gapWidth val="100"/>
        <c:overlap val="-24"/>
        <c:axId val="1271914575"/>
        <c:axId val="1259445135"/>
      </c:barChart>
      <c:catAx>
        <c:axId val="1271914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445135"/>
        <c:crosses val="autoZero"/>
        <c:auto val="1"/>
        <c:lblAlgn val="ctr"/>
        <c:lblOffset val="100"/>
        <c:noMultiLvlLbl val="0"/>
      </c:catAx>
      <c:valAx>
        <c:axId val="1259445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914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t>Cơ cấu doanh thu theo sàn TMĐT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2F-4A0F-B7ED-9E01B13DD98A}"/>
              </c:ext>
            </c:extLst>
          </c:dPt>
          <c:dLbls>
            <c:dLbl>
              <c:idx val="3"/>
              <c:delete val="1"/>
              <c:extLst>
                <c:ext xmlns:c15="http://schemas.microsoft.com/office/drawing/2012/chart" uri="{CE6537A1-D6FC-4f65-9D91-7224C49458BB}"/>
                <c:ext xmlns:c16="http://schemas.microsoft.com/office/drawing/2014/chart" uri="{C3380CC4-5D6E-409C-BE32-E72D297353CC}">
                  <c16:uniqueId val="{00000001-9B2F-4A0F-B7ED-9E01B13DD98A}"/>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'Doanh số theo TMĐT'!$A$5:$A$6</c:f>
              <c:strCache>
                <c:ptCount val="2"/>
                <c:pt idx="0">
                  <c:v>Shopee</c:v>
                </c:pt>
                <c:pt idx="1">
                  <c:v>Tiktok</c:v>
                </c:pt>
              </c:strCache>
            </c:strRef>
          </c:cat>
          <c:val>
            <c:numRef>
              <c:f>'Doanh số theo TMĐT'!$B$5:$B$6</c:f>
              <c:numCache>
                <c:ptCount val="2"/>
                <c:pt idx="0">
                  <c:v>159400000000</c:v>
                </c:pt>
                <c:pt idx="1">
                  <c:v>338100000000</c:v>
                </c:pt>
              </c:numCache>
            </c:numRef>
          </c:val>
          <c:extLst>
            <c:ext xmlns:c16="http://schemas.microsoft.com/office/drawing/2014/chart" uri="{C3380CC4-5D6E-409C-BE32-E72D297353CC}">
              <c16:uniqueId val="{00000000-9B2F-4A0F-B7ED-9E01B13DD98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r>
              <a:rPr lang="en-US">
                <a:latin typeface="Times New Roman" panose="02020603050405020304" pitchFamily="18" charset="0"/>
                <a:cs typeface="Times New Roman" panose="02020603050405020304" pitchFamily="18" charset="0"/>
              </a:rPr>
              <a:t>Cơ cấu ngành hàng theo sàn TMĐT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endParaRPr lang="en-US"/>
        </a:p>
      </c:txPr>
    </c:title>
    <c:autoTitleDeleted val="0"/>
    <c:plotArea>
      <c:layout/>
      <c:barChart>
        <c:barDir val="col"/>
        <c:grouping val="stacked"/>
        <c:varyColors val="0"/>
        <c:ser>
          <c:idx val="0"/>
          <c:order val="0"/>
          <c:tx>
            <c:strRef>
              <c:f>'Ngành hàng theo DS'!$B$38</c:f>
              <c:strCache>
                <c:ptCount val="1"/>
                <c:pt idx="0">
                  <c:v>Shopee</c:v>
                </c:pt>
              </c:strCache>
            </c:strRef>
          </c:tx>
          <c:spPr>
            <a:solidFill>
              <a:schemeClr val="accent1"/>
            </a:solidFill>
            <a:ln>
              <a:noFill/>
            </a:ln>
            <a:effectLst/>
          </c:spPr>
          <c:invertIfNegative val="0"/>
          <c:cat>
            <c:strRef>
              <c:f>'Ngành hàng theo DS'!$A$39:$A$44</c:f>
              <c:strCache>
                <c:ptCount val="6"/>
                <c:pt idx="0">
                  <c:v>Thực phẩm chức năng</c:v>
                </c:pt>
                <c:pt idx="1">
                  <c:v>Chăm sóc sức khỏe</c:v>
                </c:pt>
                <c:pt idx="2">
                  <c:v>Dinh dưỡng thể thao, protein</c:v>
                </c:pt>
                <c:pt idx="3">
                  <c:v>Vật tư y tế</c:v>
                </c:pt>
                <c:pt idx="4">
                  <c:v>Sức khỏe khác</c:v>
                </c:pt>
                <c:pt idx="5">
                  <c:v>Sản phẩm hỗ trợ tình dục</c:v>
                </c:pt>
              </c:strCache>
            </c:strRef>
          </c:cat>
          <c:val>
            <c:numRef>
              <c:f>'Ngành hàng theo DS'!$B$39:$B$44</c:f>
              <c:numCache>
                <c:ptCount val="6"/>
                <c:pt idx="0">
                  <c:v>0.3154458273821669</c:v>
                </c:pt>
                <c:pt idx="1">
                  <c:v>0.790850468426816</c:v>
                </c:pt>
                <c:pt idx="2">
                  <c:v>0.011240632805995004</c:v>
                </c:pt>
                <c:pt idx="3">
                  <c:v>1</c:v>
                </c:pt>
                <c:pt idx="4">
                  <c:v>0</c:v>
                </c:pt>
                <c:pt idx="5">
                  <c:v>1</c:v>
                </c:pt>
              </c:numCache>
            </c:numRef>
          </c:val>
          <c:extLst>
            <c:ext xmlns:c16="http://schemas.microsoft.com/office/drawing/2014/chart" uri="{C3380CC4-5D6E-409C-BE32-E72D297353CC}">
              <c16:uniqueId val="{00000000-19C8-4591-9BC3-BF8AB6EC6F4C}"/>
            </c:ext>
          </c:extLst>
        </c:ser>
        <c:ser>
          <c:idx val="1"/>
          <c:order val="1"/>
          <c:tx>
            <c:strRef>
              <c:f>'Ngành hàng theo DS'!$C$38</c:f>
              <c:strCache>
                <c:ptCount val="1"/>
                <c:pt idx="0">
                  <c:v>Lazada</c:v>
                </c:pt>
              </c:strCache>
            </c:strRef>
          </c:tx>
          <c:spPr>
            <a:solidFill>
              <a:schemeClr val="accent2"/>
            </a:solidFill>
            <a:ln>
              <a:noFill/>
            </a:ln>
            <a:effectLst/>
          </c:spPr>
          <c:invertIfNegative val="0"/>
          <c:cat>
            <c:strRef>
              <c:f>'Ngành hàng theo DS'!$A$39:$A$44</c:f>
              <c:strCache>
                <c:ptCount val="6"/>
                <c:pt idx="0">
                  <c:v>Thực phẩm chức năng</c:v>
                </c:pt>
                <c:pt idx="1">
                  <c:v>Chăm sóc sức khỏe</c:v>
                </c:pt>
                <c:pt idx="2">
                  <c:v>Dinh dưỡng thể thao, protein</c:v>
                </c:pt>
                <c:pt idx="3">
                  <c:v>Vật tư y tế</c:v>
                </c:pt>
                <c:pt idx="4">
                  <c:v>Sức khỏe khác</c:v>
                </c:pt>
                <c:pt idx="5">
                  <c:v>Sản phẩm hỗ trợ tình dục</c:v>
                </c:pt>
              </c:strCache>
            </c:strRef>
          </c:cat>
          <c:val>
            <c:numRef>
              <c:f>'Ngành hàng theo DS'!$C$39:$C$44</c:f>
              <c:numCache>
                <c:ptCount val="6"/>
                <c:pt idx="0">
                  <c:v>0</c:v>
                </c:pt>
                <c:pt idx="1">
                  <c:v>0</c:v>
                </c:pt>
                <c:pt idx="2">
                  <c:v>0</c:v>
                </c:pt>
                <c:pt idx="3">
                  <c:v>0</c:v>
                </c:pt>
                <c:pt idx="4">
                  <c:v>0</c:v>
                </c:pt>
                <c:pt idx="5">
                  <c:v>0</c:v>
                </c:pt>
              </c:numCache>
            </c:numRef>
          </c:val>
          <c:extLst>
            <c:ext xmlns:c16="http://schemas.microsoft.com/office/drawing/2014/chart" uri="{C3380CC4-5D6E-409C-BE32-E72D297353CC}">
              <c16:uniqueId val="{00000001-19C8-4591-9BC3-BF8AB6EC6F4C}"/>
            </c:ext>
          </c:extLst>
        </c:ser>
        <c:ser>
          <c:idx val="2"/>
          <c:order val="2"/>
          <c:tx>
            <c:strRef>
              <c:f>'Ngành hàng theo DS'!$D$38</c:f>
              <c:strCache>
                <c:ptCount val="1"/>
                <c:pt idx="0">
                  <c:v>Tiki</c:v>
                </c:pt>
              </c:strCache>
            </c:strRef>
          </c:tx>
          <c:spPr>
            <a:solidFill>
              <a:schemeClr val="accent3"/>
            </a:solidFill>
            <a:ln>
              <a:noFill/>
            </a:ln>
            <a:effectLst/>
          </c:spPr>
          <c:invertIfNegative val="0"/>
          <c:cat>
            <c:strRef>
              <c:f>'Ngành hàng theo DS'!$A$39:$A$44</c:f>
              <c:strCache>
                <c:ptCount val="6"/>
                <c:pt idx="0">
                  <c:v>Thực phẩm chức năng</c:v>
                </c:pt>
                <c:pt idx="1">
                  <c:v>Chăm sóc sức khỏe</c:v>
                </c:pt>
                <c:pt idx="2">
                  <c:v>Dinh dưỡng thể thao, protein</c:v>
                </c:pt>
                <c:pt idx="3">
                  <c:v>Vật tư y tế</c:v>
                </c:pt>
                <c:pt idx="4">
                  <c:v>Sức khỏe khác</c:v>
                </c:pt>
                <c:pt idx="5">
                  <c:v>Sản phẩm hỗ trợ tình dục</c:v>
                </c:pt>
              </c:strCache>
            </c:strRef>
          </c:cat>
          <c:val>
            <c:numRef>
              <c:f>'Ngành hàng theo DS'!$D$39:$D$44</c:f>
              <c:numCache>
                <c:ptCount val="6"/>
                <c:pt idx="0">
                  <c:v>0</c:v>
                </c:pt>
                <c:pt idx="1">
                  <c:v>0</c:v>
                </c:pt>
                <c:pt idx="2">
                  <c:v>0</c:v>
                </c:pt>
                <c:pt idx="3">
                  <c:v>0</c:v>
                </c:pt>
                <c:pt idx="4">
                  <c:v>0</c:v>
                </c:pt>
                <c:pt idx="5">
                  <c:v>0</c:v>
                </c:pt>
              </c:numCache>
            </c:numRef>
          </c:val>
          <c:extLst>
            <c:ext xmlns:c16="http://schemas.microsoft.com/office/drawing/2014/chart" uri="{C3380CC4-5D6E-409C-BE32-E72D297353CC}">
              <c16:uniqueId val="{00000002-19C8-4591-9BC3-BF8AB6EC6F4C}"/>
            </c:ext>
          </c:extLst>
        </c:ser>
        <c:ser>
          <c:idx val="3"/>
          <c:order val="3"/>
          <c:tx>
            <c:strRef>
              <c:f>'Ngành hàng theo DS'!$E$38</c:f>
              <c:strCache>
                <c:ptCount val="1"/>
                <c:pt idx="0">
                  <c:v>TikTok</c:v>
                </c:pt>
              </c:strCache>
            </c:strRef>
          </c:tx>
          <c:spPr>
            <a:solidFill>
              <a:schemeClr val="accent4"/>
            </a:solidFill>
            <a:ln>
              <a:noFill/>
            </a:ln>
            <a:effectLst/>
          </c:spPr>
          <c:invertIfNegative val="0"/>
          <c:cat>
            <c:strRef>
              <c:f>'Ngành hàng theo DS'!$A$39:$A$44</c:f>
              <c:strCache>
                <c:ptCount val="6"/>
                <c:pt idx="0">
                  <c:v>Thực phẩm chức năng</c:v>
                </c:pt>
                <c:pt idx="1">
                  <c:v>Chăm sóc sức khỏe</c:v>
                </c:pt>
                <c:pt idx="2">
                  <c:v>Dinh dưỡng thể thao, protein</c:v>
                </c:pt>
                <c:pt idx="3">
                  <c:v>Vật tư y tế</c:v>
                </c:pt>
                <c:pt idx="4">
                  <c:v>Sức khỏe khác</c:v>
                </c:pt>
                <c:pt idx="5">
                  <c:v>Sản phẩm hỗ trợ tình dục</c:v>
                </c:pt>
              </c:strCache>
            </c:strRef>
          </c:cat>
          <c:val>
            <c:numRef>
              <c:f>'Ngành hàng theo DS'!$E$39:$E$44</c:f>
              <c:numCache>
                <c:ptCount val="6"/>
                <c:pt idx="0">
                  <c:v>0.6845541726178331</c:v>
                </c:pt>
                <c:pt idx="1">
                  <c:v>0.20914953157318408</c:v>
                </c:pt>
                <c:pt idx="2">
                  <c:v>0.988759367194005</c:v>
                </c:pt>
                <c:pt idx="3">
                  <c:v>0</c:v>
                </c:pt>
                <c:pt idx="4">
                  <c:v>1</c:v>
                </c:pt>
                <c:pt idx="5">
                  <c:v>0</c:v>
                </c:pt>
              </c:numCache>
            </c:numRef>
          </c:val>
          <c:extLst>
            <c:ext xmlns:c16="http://schemas.microsoft.com/office/drawing/2014/chart" uri="{C3380CC4-5D6E-409C-BE32-E72D297353CC}">
              <c16:uniqueId val="{00000003-19C8-4591-9BC3-BF8AB6EC6F4C}"/>
            </c:ext>
          </c:extLst>
        </c:ser>
        <c:dLbls>
          <c:showLegendKey val="0"/>
          <c:showVal val="0"/>
          <c:showCatName val="0"/>
          <c:showSerName val="0"/>
          <c:showPercent val="0"/>
          <c:showBubbleSize val="0"/>
        </c:dLbls>
        <c:gapWidth val="150"/>
        <c:overlap val="100"/>
        <c:axId val="1260386271"/>
        <c:axId val="1259438895"/>
      </c:barChart>
      <c:catAx>
        <c:axId val="126038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59438895"/>
        <c:crosses val="autoZero"/>
        <c:auto val="1"/>
        <c:lblAlgn val="ctr"/>
        <c:lblOffset val="100"/>
        <c:noMultiLvlLbl val="0"/>
      </c:catAx>
      <c:valAx>
        <c:axId val="1259438895"/>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86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'Mức giá theo DS'!$B$17</c:f>
              <c:strCache>
                <c:ptCount val="1"/>
                <c:pt idx="0">
                  <c:v>Shopee</c:v>
                </c:pt>
              </c:strCache>
            </c:strRef>
          </c:tx>
          <c:spPr>
            <a:solidFill>
              <a:schemeClr val="accent1"/>
            </a:solidFill>
            <a:ln>
              <a:noFill/>
            </a:ln>
            <a:effectLst/>
          </c:spPr>
          <c:invertIfNegative val="0"/>
          <c:cat>
            <c:strRef>
              <c:f>'Mức giá theo DS'!$A$18:$A$26</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DS'!$B$18:$B$26</c:f>
              <c:numCache>
                <c:ptCount val="9"/>
                <c:pt idx="0">
                  <c:v>0.2605042016806723</c:v>
                </c:pt>
                <c:pt idx="1">
                  <c:v>0.22261773249867026</c:v>
                </c:pt>
                <c:pt idx="2">
                  <c:v>0.48148148148148145</c:v>
                </c:pt>
                <c:pt idx="3">
                  <c:v>0.1128254580520733</c:v>
                </c:pt>
                <c:pt idx="4">
                  <c:v>0.428173719376392</c:v>
                </c:pt>
                <c:pt idx="5">
                  <c:v>0.3885848318999218</c:v>
                </c:pt>
                <c:pt idx="6">
                  <c:v>0.22105263157894736</c:v>
                </c:pt>
                <c:pt idx="7">
                  <c:v>0.23893805309734514</c:v>
                </c:pt>
                <c:pt idx="8">
                  <c:v>0.7275790565059617</c:v>
                </c:pt>
              </c:numCache>
            </c:numRef>
          </c:val>
          <c:extLst>
            <c:ext xmlns:c16="http://schemas.microsoft.com/office/drawing/2014/chart" uri="{C3380CC4-5D6E-409C-BE32-E72D297353CC}">
              <c16:uniqueId val="{00000000-F613-470F-AC43-D95BFAF6B7D2}"/>
            </c:ext>
          </c:extLst>
        </c:ser>
        <c:ser>
          <c:idx val="1"/>
          <c:order val="1"/>
          <c:tx>
            <c:strRef>
              <c:f>'Mức giá theo DS'!$C$17</c:f>
              <c:strCache>
                <c:ptCount val="1"/>
                <c:pt idx="0">
                  <c:v>Lazada</c:v>
                </c:pt>
              </c:strCache>
            </c:strRef>
          </c:tx>
          <c:spPr>
            <a:solidFill>
              <a:schemeClr val="accent2"/>
            </a:solidFill>
            <a:ln>
              <a:noFill/>
            </a:ln>
            <a:effectLst/>
          </c:spPr>
          <c:invertIfNegative val="0"/>
          <c:cat>
            <c:strRef>
              <c:f>'Mức giá theo DS'!$A$18:$A$26</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DS'!$C$18:$C$26</c:f>
              <c:numCach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613-470F-AC43-D95BFAF6B7D2}"/>
            </c:ext>
          </c:extLst>
        </c:ser>
        <c:ser>
          <c:idx val="2"/>
          <c:order val="2"/>
          <c:tx>
            <c:strRef>
              <c:f>'Mức giá theo DS'!$D$17</c:f>
              <c:strCache>
                <c:ptCount val="1"/>
                <c:pt idx="0">
                  <c:v>Tiki</c:v>
                </c:pt>
              </c:strCache>
            </c:strRef>
          </c:tx>
          <c:spPr>
            <a:solidFill>
              <a:schemeClr val="accent3"/>
            </a:solidFill>
            <a:ln>
              <a:noFill/>
            </a:ln>
            <a:effectLst/>
          </c:spPr>
          <c:invertIfNegative val="0"/>
          <c:cat>
            <c:strRef>
              <c:f>'Mức giá theo DS'!$A$18:$A$26</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DS'!$D$18:$D$26</c:f>
              <c:numCach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613-470F-AC43-D95BFAF6B7D2}"/>
            </c:ext>
          </c:extLst>
        </c:ser>
        <c:ser>
          <c:idx val="3"/>
          <c:order val="3"/>
          <c:tx>
            <c:strRef>
              <c:f>'Mức giá theo DS'!$E$17</c:f>
              <c:strCache>
                <c:ptCount val="1"/>
                <c:pt idx="0">
                  <c:v>TikTok</c:v>
                </c:pt>
              </c:strCache>
            </c:strRef>
          </c:tx>
          <c:spPr>
            <a:solidFill>
              <a:schemeClr val="accent4"/>
            </a:solidFill>
            <a:ln>
              <a:noFill/>
            </a:ln>
            <a:effectLst/>
          </c:spPr>
          <c:invertIfNegative val="0"/>
          <c:cat>
            <c:strRef>
              <c:f>'Mức giá theo DS'!$A$18:$A$26</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DS'!$E$18:$E$26</c:f>
              <c:numCache>
                <c:ptCount val="9"/>
                <c:pt idx="0">
                  <c:v>0.7394957983193278</c:v>
                </c:pt>
                <c:pt idx="1">
                  <c:v>0.7773822675013298</c:v>
                </c:pt>
                <c:pt idx="2">
                  <c:v>0.5185185185185185</c:v>
                </c:pt>
                <c:pt idx="3">
                  <c:v>0.8871745419479267</c:v>
                </c:pt>
                <c:pt idx="4">
                  <c:v>0.571826280623608</c:v>
                </c:pt>
                <c:pt idx="5">
                  <c:v>0.6114151681000782</c:v>
                </c:pt>
                <c:pt idx="6">
                  <c:v>0.7789473684210526</c:v>
                </c:pt>
                <c:pt idx="7">
                  <c:v>0.7610619469026548</c:v>
                </c:pt>
                <c:pt idx="8">
                  <c:v>0.27242094349403834</c:v>
                </c:pt>
              </c:numCache>
            </c:numRef>
          </c:val>
          <c:extLst>
            <c:ext xmlns:c16="http://schemas.microsoft.com/office/drawing/2014/chart" uri="{C3380CC4-5D6E-409C-BE32-E72D297353CC}">
              <c16:uniqueId val="{00000003-F613-470F-AC43-D95BFAF6B7D2}"/>
            </c:ext>
          </c:extLst>
        </c:ser>
        <c:dLbls>
          <c:showLegendKey val="0"/>
          <c:showVal val="0"/>
          <c:showCatName val="0"/>
          <c:showSerName val="0"/>
          <c:showPercent val="0"/>
          <c:showBubbleSize val="0"/>
        </c:dLbls>
        <c:gapWidth val="150"/>
        <c:overlap val="100"/>
        <c:axId val="1672715087"/>
        <c:axId val="1259377935"/>
      </c:barChart>
      <c:catAx>
        <c:axId val="167271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77935"/>
        <c:crosses val="autoZero"/>
        <c:auto val="1"/>
        <c:lblAlgn val="ctr"/>
        <c:lblOffset val="100"/>
        <c:noMultiLvlLbl val="0"/>
      </c:catAx>
      <c:valAx>
        <c:axId val="1259377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15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Phân</a:t>
            </a:r>
            <a:r>
              <a:rPr lang="en-US" baseline="0"/>
              <a:t> tích mức giá theo 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'Mức giá theo DS'!$B$5</c:f>
              <c:strCache>
                <c:ptCount val="1"/>
                <c:pt idx="0">
                  <c:v>Shopee</c:v>
                </c:pt>
              </c:strCache>
            </c:strRef>
          </c:tx>
          <c:spPr>
            <a:solidFill>
              <a:schemeClr val="accent1"/>
            </a:solidFill>
            <a:ln>
              <a:noFill/>
            </a:ln>
            <a:effectLst/>
          </c:spPr>
          <c:invertIfNegative val="0"/>
          <c:cat>
            <c:strRef>
              <c:f>'Mức giá theo DS'!$A$6:$A$14</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DS'!$B$6:$B$14</c:f>
              <c:numCache>
                <c:ptCount val="9"/>
                <c:pt idx="0">
                  <c:v>6200000</c:v>
                </c:pt>
                <c:pt idx="1">
                  <c:v>544100000</c:v>
                </c:pt>
                <c:pt idx="2">
                  <c:v>2600000000</c:v>
                </c:pt>
                <c:pt idx="3">
                  <c:v>11700000000</c:v>
                </c:pt>
                <c:pt idx="4">
                  <c:v>76900000000</c:v>
                </c:pt>
                <c:pt idx="5">
                  <c:v>49700000000</c:v>
                </c:pt>
                <c:pt idx="6">
                  <c:v>14700000000</c:v>
                </c:pt>
                <c:pt idx="7">
                  <c:v>2700000000</c:v>
                </c:pt>
                <c:pt idx="8">
                  <c:v>561400000</c:v>
                </c:pt>
              </c:numCache>
            </c:numRef>
          </c:val>
          <c:extLst>
            <c:ext xmlns:c16="http://schemas.microsoft.com/office/drawing/2014/chart" uri="{C3380CC4-5D6E-409C-BE32-E72D297353CC}">
              <c16:uniqueId val="{00000000-F304-4C51-9C0C-B847400AAF6A}"/>
            </c:ext>
          </c:extLst>
        </c:ser>
        <c:ser>
          <c:idx val="1"/>
          <c:order val="1"/>
          <c:tx>
            <c:strRef>
              <c:f>'Mức giá theo DS'!$C$5</c:f>
              <c:strCache>
                <c:ptCount val="1"/>
                <c:pt idx="0">
                  <c:v>Lazada</c:v>
                </c:pt>
              </c:strCache>
            </c:strRef>
          </c:tx>
          <c:spPr>
            <a:solidFill>
              <a:schemeClr val="accent2"/>
            </a:solidFill>
            <a:ln>
              <a:noFill/>
            </a:ln>
            <a:effectLst/>
          </c:spPr>
          <c:invertIfNegative val="0"/>
          <c:cat>
            <c:strRef>
              <c:f>'Mức giá theo DS'!$A$6:$A$14</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DS'!$C$6:$C$14</c:f>
              <c:numCach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304-4C51-9C0C-B847400AAF6A}"/>
            </c:ext>
          </c:extLst>
        </c:ser>
        <c:ser>
          <c:idx val="2"/>
          <c:order val="2"/>
          <c:tx>
            <c:strRef>
              <c:f>'Mức giá theo DS'!$D$5</c:f>
              <c:strCache>
                <c:ptCount val="1"/>
                <c:pt idx="0">
                  <c:v>Tiki</c:v>
                </c:pt>
              </c:strCache>
            </c:strRef>
          </c:tx>
          <c:spPr>
            <a:solidFill>
              <a:schemeClr val="accent3"/>
            </a:solidFill>
            <a:ln>
              <a:noFill/>
            </a:ln>
            <a:effectLst/>
          </c:spPr>
          <c:invertIfNegative val="0"/>
          <c:cat>
            <c:strRef>
              <c:f>'Mức giá theo DS'!$A$6:$A$14</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DS'!$D$6:$D$14</c:f>
              <c:numCach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304-4C51-9C0C-B847400AAF6A}"/>
            </c:ext>
          </c:extLst>
        </c:ser>
        <c:ser>
          <c:idx val="3"/>
          <c:order val="3"/>
          <c:tx>
            <c:strRef>
              <c:f>'Mức giá theo DS'!$E$5</c:f>
              <c:strCache>
                <c:ptCount val="1"/>
                <c:pt idx="0">
                  <c:v>TikTok</c:v>
                </c:pt>
              </c:strCache>
            </c:strRef>
          </c:tx>
          <c:spPr>
            <a:solidFill>
              <a:schemeClr val="accent4"/>
            </a:solidFill>
            <a:ln>
              <a:noFill/>
            </a:ln>
            <a:effectLst/>
          </c:spPr>
          <c:invertIfNegative val="0"/>
          <c:cat>
            <c:strRef>
              <c:f>'Mức giá theo DS'!$A$6:$A$14</c:f>
              <c:strCache>
                <c:ptCount val="9"/>
                <c:pt idx="0">
                  <c:v>&lt; 10.000₫</c:v>
                </c:pt>
                <c:pt idx="1">
                  <c:v>10.000₫ - 50.000₫</c:v>
                </c:pt>
                <c:pt idx="2">
                  <c:v>50.000₫ - 100.000₫</c:v>
                </c:pt>
                <c:pt idx="3">
                  <c:v>100.000₫ - 200.000₫</c:v>
                </c:pt>
                <c:pt idx="4">
                  <c:v>200.000₫ - 500.000₫</c:v>
                </c:pt>
                <c:pt idx="5">
                  <c:v>500.000₫ - 1.000.000₫</c:v>
                </c:pt>
                <c:pt idx="6">
                  <c:v>1.000.000₫ - 2.000.000₫</c:v>
                </c:pt>
                <c:pt idx="7">
                  <c:v>2.000.000₫ - 5.000.000₫</c:v>
                </c:pt>
                <c:pt idx="8">
                  <c:v>&gt; 5.000.000₫</c:v>
                </c:pt>
              </c:strCache>
            </c:strRef>
          </c:cat>
          <c:val>
            <c:numRef>
              <c:f>'Mức giá theo DS'!$E$6:$E$14</c:f>
              <c:numCache>
                <c:ptCount val="9"/>
                <c:pt idx="0">
                  <c:v>17600000</c:v>
                </c:pt>
                <c:pt idx="1">
                  <c:v>1900000000</c:v>
                </c:pt>
                <c:pt idx="2">
                  <c:v>2800000000</c:v>
                </c:pt>
                <c:pt idx="3">
                  <c:v>92000000000</c:v>
                </c:pt>
                <c:pt idx="4">
                  <c:v>102700000000</c:v>
                </c:pt>
                <c:pt idx="5">
                  <c:v>78200000000</c:v>
                </c:pt>
                <c:pt idx="6">
                  <c:v>51800000000</c:v>
                </c:pt>
                <c:pt idx="7">
                  <c:v>8600000000</c:v>
                </c:pt>
                <c:pt idx="8">
                  <c:v>210200000</c:v>
                </c:pt>
              </c:numCache>
            </c:numRef>
          </c:val>
          <c:extLst>
            <c:ext xmlns:c16="http://schemas.microsoft.com/office/drawing/2014/chart" uri="{C3380CC4-5D6E-409C-BE32-E72D297353CC}">
              <c16:uniqueId val="{00000003-F304-4C51-9C0C-B847400AAF6A}"/>
            </c:ext>
          </c:extLst>
        </c:ser>
        <c:dLbls>
          <c:dLblPos val="ctr"/>
          <c:showLegendKey val="0"/>
          <c:showVal val="0"/>
          <c:showCatName val="0"/>
          <c:showSerName val="0"/>
          <c:showPercent val="0"/>
          <c:showBubbleSize val="0"/>
        </c:dLbls>
        <c:gapWidth val="150"/>
        <c:overlap val="100"/>
        <c:axId val="1672632495"/>
        <c:axId val="1259428815"/>
      </c:barChart>
      <c:catAx>
        <c:axId val="167263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59428815"/>
        <c:crosses val="autoZero"/>
        <c:auto val="1"/>
        <c:lblAlgn val="ctr"/>
        <c:lblOffset val="100"/>
        <c:noMultiLvlLbl val="0"/>
      </c:catAx>
      <c:valAx>
        <c:axId val="12594288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72632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Times New Roman" panose="02020603050405020304" pitchFamily="18" charset="0"/>
                <a:ea typeface="+mj-ea"/>
                <a:cs typeface="Times New Roman" panose="02020603050405020304" pitchFamily="18" charset="0"/>
              </a:defRPr>
            </a:pPr>
            <a:r>
              <a:rPr lang="en-US">
                <a:latin typeface="Times New Roman" panose="02020603050405020304" pitchFamily="18" charset="0"/>
                <a:cs typeface="Times New Roman" panose="02020603050405020304" pitchFamily="18" charset="0"/>
              </a:rPr>
              <a:t>Cơ</a:t>
            </a:r>
            <a:r>
              <a:rPr lang="en-US" baseline="0">
                <a:latin typeface="Times New Roman" panose="02020603050405020304" pitchFamily="18" charset="0"/>
                <a:cs typeface="Times New Roman" panose="02020603050405020304" pitchFamily="18" charset="0"/>
              </a:rPr>
              <a:t> cấu gian hàng theo doanh số</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Times New Roman" panose="02020603050405020304" pitchFamily="18" charset="0"/>
              <a:ea typeface="+mj-ea"/>
              <a:cs typeface="Times New Roman" panose="02020603050405020304" pitchFamily="18" charset="0"/>
            </a:defRPr>
          </a:pPr>
          <a:endParaRPr lang="en-US"/>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'Kiểu gian hàng (DS)'!$A$5:$A$6</c:f>
              <c:strCache>
                <c:ptCount val="2"/>
                <c:pt idx="0">
                  <c:v>Gian hàng chính hãng</c:v>
                </c:pt>
                <c:pt idx="1">
                  <c:v>Gian hàng thường</c:v>
                </c:pt>
              </c:strCache>
            </c:strRef>
          </c:cat>
          <c:val>
            <c:numRef>
              <c:f>'Kiểu gian hàng (DS)'!$B$5:$B$6</c:f>
              <c:numCache>
                <c:ptCount val="2"/>
                <c:pt idx="0">
                  <c:v>0.59</c:v>
                </c:pt>
                <c:pt idx="1">
                  <c:v>0.41</c:v>
                </c:pt>
              </c:numCache>
            </c:numRef>
          </c:val>
          <c:extLst>
            <c:ext xmlns:c16="http://schemas.microsoft.com/office/drawing/2014/chart" uri="{C3380CC4-5D6E-409C-BE32-E72D297353CC}">
              <c16:uniqueId val="{00000000-3291-4DFA-8FDE-1BB5DA3945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effectLst/>
                <a:latin typeface="Times New Roman" panose="02020603050405020304" pitchFamily="18" charset="0"/>
                <a:cs typeface="Times New Roman" panose="02020603050405020304" pitchFamily="18" charset="0"/>
              </a:rPr>
              <a:t>Cơ cấu doanh số theo vị trí kho hàng (%)</a:t>
            </a:r>
            <a:r>
              <a:rPr lang="en-US" sz="1400" b="0" i="0" u="none" strike="noStrike" baseline="0">
                <a:effectLst/>
                <a:latin typeface="Times New Roman" panose="02020603050405020304" pitchFamily="18" charset="0"/>
                <a:cs typeface="Times New Roman" panose="02020603050405020304" pitchFamily="18" charset="0"/>
              </a:rPr>
              <a:t> </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tx>
            <c:strRef>
              <c:f>'Vị trí'!$B$5</c:f>
              <c:strCache>
                <c:ptCount val="1"/>
                <c:pt idx="0">
                  <c:v>Tỷ trọng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'Vị trí'!$A$6:$A$11</c:f>
              <c:strCache>
                <c:ptCount val="6"/>
                <c:pt idx="0">
                  <c:v>Hà Nội</c:v>
                </c:pt>
                <c:pt idx="1">
                  <c:v>Tp. Hồ Chí Minh</c:v>
                </c:pt>
                <c:pt idx="2">
                  <c:v>Tây Ninh</c:v>
                </c:pt>
                <c:pt idx="3">
                  <c:v>Đồng Nai</c:v>
                </c:pt>
                <c:pt idx="4">
                  <c:v>Hải Phòng</c:v>
                </c:pt>
                <c:pt idx="5">
                  <c:v>Bắc Ninh</c:v>
                </c:pt>
              </c:strCache>
            </c:strRef>
          </c:cat>
          <c:val>
            <c:numRef>
              <c:f>'Vị trí'!$B$6:$B$11</c:f>
              <c:numCache>
                <c:ptCount val="6"/>
                <c:pt idx="0">
                  <c:v>0.508</c:v>
                </c:pt>
                <c:pt idx="1">
                  <c:v>0.423</c:v>
                </c:pt>
                <c:pt idx="2">
                  <c:v>0.036</c:v>
                </c:pt>
                <c:pt idx="3">
                  <c:v>0.008</c:v>
                </c:pt>
                <c:pt idx="4">
                  <c:v>0.007</c:v>
                </c:pt>
                <c:pt idx="5">
                  <c:v>0.004</c:v>
                </c:pt>
              </c:numCache>
            </c:numRef>
          </c:val>
          <c:extLst>
            <c:ext xmlns:c16="http://schemas.microsoft.com/office/drawing/2014/chart" uri="{C3380CC4-5D6E-409C-BE32-E72D297353CC}">
              <c16:uniqueId val="{00000000-022D-4182-AB8B-9E48DADB8F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txData>
          <cx:v>Doanh số theo vị trí kho hàng</cx:v>
        </cx:txData>
      </cx:tx>
      <cx:txPr>
        <a:bodyPr spcFirstLastPara="1" vertOverflow="ellipsis" horzOverflow="overflow" wrap="square" lIns="0" tIns="0" rIns="0" bIns="0" anchor="ctr" anchorCtr="1"/>
        <a:lstStyle/>
        <a:p>
          <a:pPr algn="ctr" rtl="0">
            <a:defRPr/>
          </a:pPr>
          <a:r>
            <a:rPr lang="en-US" sz="1400" b="0" i="0" u="none" strike="noStrike" baseline="0">
              <a:solidFill>
                <a:srgbClr val="FFFFFF">
                  <a:lumMod val="95000"/>
                </a:srgbClr>
              </a:solidFill>
              <a:latin typeface="Arial"/>
              <a:cs typeface="Arial"/>
            </a:rPr>
            <a:t>Doanh số theo vị trí kho hàng</a:t>
          </a:r>
        </a:p>
      </cx:txPr>
    </cx:title>
    <cx:plotArea>
      <cx:plotAreaRegion>
        <cx:series layoutId="regionMap" uniqueId="{58C5D9EA-8B96-4698-AAF9-BC17723EEB2F}">
          <cx:dataId val="0"/>
          <cx:layoutPr>
            <cx:geography cultureLanguage="en-US" cultureRegion="US" attribution="Powered by Bing">
              <cx:geoCache provider="{E9337A44-BEBE-4D9F-B70C-5C5E7DAFC167}">
                <cx:binary>7Ho7k944luVfUcheqkAQD7KjewyQ/B755VOZklJyGKlUCgQBAiTBF+iNud5srLXebPtrrrNt1vyR
/id7VdWlKKlV3T0xNRFbEZtGKpQg8QG4955z7sH3+8f1d4/m6WF4trbG+t89rn94Xo9j97vvvvOP
9VP74F+06nFw3n0cXzy69jv38aN6fPruw/CwKCu/wygm3z3WD8P4tD7/p9/DbPLJnbvHh1E5ezM9
DeHlk5/M6P/G2DeHnj18aJUtlB8H9TjGf3h+p/78p3+2z/bqwcrnz57sqMZwF7qnPzz/4snnz777
er6/+uxnBpY3Th/g3Ri9SDKeoISm6Ief+Pkz46z8PMxeJCjOMpLgn4Z//OjLhxZev1NP/8CSfljQ
w4cPw5P3sK8f/v3y3S+28OXQo5vs+OkYJZzoH56/Vk+jfWifP1Pe5T8O5e7TTl5f/rD1774MwT/9
/qs/wGF89ZefRenrk/t7Q38VpPPv/9g++7d/+fOf/vuvGqT4BWMxyVjMvopO+iJOEoozRrMffn5K
jB+j8/PVPLse3Kzs49NPj3wrd74dqF+Y5quY/cJTv6nw3f35T//V1s/uvv9jeHapbP23zurfWWfx
CwQVRnGSfhVC9gKzGFGSZd8ssJ+W8h+I3+ft/GyOr4L3rUd+U5E71d//z8e/F67/xML/S+b8pfSf
XT6ov7eYL3Hqb2J0/ILglBL6VebwFzHDBOOYf6v4f7aUn8X9l3nj27X/7Vm+yp5vP/Sbyp/zB/Us
r7//4/TrhQ3jFzjDMePsa9ROXkDIUoYzwIKfs+nnRfwHAvatOb4K17ce+U0F6/D9vz67/POf/sev
WGMY8BmnSZIw9m0dRF9ABSKCEVThz2P2D63l27X1s1e/itDPRn5Tgbmrv/9X4M+u/vOf/tuzA6ig
TzX1v55d/LpUil5wTimmKPsKENkLjnCM8LfV0MHBatQPi3mWg3j+KY7/uBD66xm+itvd9SG/eP7s
NxWzf/uXH6rp//zvX1WxsheIfeooePojN30dqvQFjqGtAOb6KQw/StZ/cDXfLqgvXv4qNF+M/aYC
9GVR/X/o+3+z87u7fvHvRLxfUY3+Uj7/XO198cy/1yWgLzLMGKNJ/G125C+gBUUpVPu3mpjPPfsv
r+fbBf35xS8W/59uAvxyZD7L9OJhfCh/8GB+5hH87dEftgju0FevfmHlfLHPn5Dx+OEPzzEFY+az
s/Npii9UyOeD+vGEP7/x9ODHTyZP9oJQnqKMkBQ6hhhAd3n6cQS/iEmSUpCjCU5jDOrGumGs4RMT
cIYwibM0poglhPPnz7ybPg2lLyiDRjZLeMJ5Bu5D9tn6unYmSGc/n8Rf/v/MTu21U3b0MDGKYS/d
jw9+WilPGWWUpllMYuB1HFMC448PL8Fgg+fj/8KntvZVk3aHztRy7fK413h75bqk6S78HOhyNa3U
Dq+Xzq/JZdsHa4jAo67RIlbkzRALNkoe75O6q7NTTafhQ5eSrb2Zt1rXZ9XQjeEdr1QXXWbp0vOi
roaGWpFhOdrzeUmyOBahMu49Uk02lX1QKypCPyJZWIq6OK+6YW1L1GyVPEtT212n1dxeZdxHy15N
foiLsTbr+77h+payoJZ8U3O0fJwUkGTJs7mNSsSxbK/GEZSNkJKRSiQTbPU+dh2fX3WJQmqfWtV6
X2qDp/QMc5NxoUwUkVrgOLT+Dk29645DRtgqKGv71z3pGD24RG3sYNu56s6Z514f65q5dj/OS33b
u8hWxxk1MD9fcNqd0RT3W76aMa1OTTVrYkTkO+z2Vb349f0USz4L1PZbOKg163m+RUZnJaGaRLvV
8fWazHhJz6MoSec9HwfkSlQ3jObBrsjkldQuFktAG3k5Y9bFpa8X/oZYXG8nQl0zidSQYIoqRlHI
qUvmrmjroZb5VI/9dIwbMtQHatNMCVt51+a2WjI45LmjWHTLUNfnY9PyOreRnGTuULXp3LgQbTJv
hjlyZy0zE8mZ48tUupQvmejUuq0iqIq2OTFRHPK0zTYiUqQTLWQ2uvFN5LbuCdFqU8e18YsUdsKd
FFs3umjfJCH2XV4lOP7gfIyaXRzrrCowp2ETfnak2fVGLutxg2eqkq4qtHnl027JZysJFiaT/ZK3
cVM/yHkOscgWvD2sdUtCvnWa1q/dOigs+LbWr1XoeSqGajTDDrFqa091oMN5PxNN3/pmCe/jMav0
sU2kJ8LVbVO/I6PWkK0NH9vLKfaNEulWTW43rMzd1r6ezMWYdav90BMZ+6fGutYdu7qW2y6OnHFn
NqOInKV9hGhec9rfzvUmR4EHgpq96kk0lhmAwyM1m7Mn3Mcrp/mwzI2+jAZEltdkIVV6oq03/oiy
bHuoknlbdx3u63i/orRKToldx3o3htn1kN1ExefbJpdwNQ8DCiIM/dBftwmtY7RjlPsQFXRWs7uZ
zYj1qzr75JxjRbwvGo3i7ZBgbT0ShA58o4Jtrc1S4bhsiBO1q5m5dJsdwnniFxwpwWYIrzBzHfUi
9aZ1dzwsTtXCw5KMMCod41aMmqztmR2m7Ez3zqd3FaHgm4tYbYAEepV+OvqV4rhITFR3ue2DnItF
DZU7JUSlt7qZJpwH3UdStFvnhpKsQ4xvpySQB7uZwRej3+alSEY00du+G5F9HWqWXGCu6HZst6hb
jrPaukPGq74XZvNTtZ9QZFhpKrkuuc9mlSaliSc6fFB0bYxga0C9qNiSDcXqu1bmZJjGuNj02Fbn
69DKrVSE6fasN2lU5wC5PRFNQluem9HRAbaTSLSrHHZz3pq5afYxj0Ncbmh1dS6RGbJ9s7mI3U09
C4PYpnlsd824JqZIW5TcbXOVbiIhriVnOGnNUsi0C2xH0UKUmPtmqO+HNPSfIoGROXBcO31IVJY8
9R3rtQibG08VQl0kmnZDqlCqGv0+S5DsdrxdolqwqHVEbGRcatHGftx2swlZfWImTmIh6dS6Moq3
5KFmPYSIDFkwpY02ODSHs+5dEnw9CmQ3+5ANNnDRc7k2N6Hf7Fzq0CxexD0fX5mur2zRkXAX8+qC
ZmEUnmFUC7SMhyltiMo1zl61izbCEZmVkwqJGLy6NOP8cqq7ozSLPNOROmNLn4px2LzQgyvBjGh2
Q2/LTfWvYzRF52lUHRPbBshM9iGWQV5haqNE1Ka6SJGJ7vuV6yJqVARAHKmi1ro7UDoMhXPqdRO1
WdFszG5lZW0DJzRV+mPTN7JIJHsX7HafpOOBU942Qs2TuW0m04g6WcJZRJwpdcwEp+xGWfu2Nf2D
MY25iOg264JGyQfdEPZRIn4RavRSGjadk2nMzl0b1hyScxbR0F5UKwQ4WtW97jMD7LaaPKqp3FtO
b3m/pMIqvidzsl91Wgmd+Tc9my8ln8rJJ6zgHRcRrdbDmFlc1k7ifEplAUSuzxpU7z2Ig8MmVSVa
myARNS63Q2oFk8s1VtwIhKbzBC+zWLfRfpychQfIsI8bzsraYvTOuUg9tT1ZRARpkW+2EirgR7nE
p7kZ8PU89T4ufLQ5MbQ6FkkVjlHbUbEhWm7jupXxJKsiSz0/9hWwRl/73ND2FDu/FHQcpZAmsfnk
rTtuWdyeZIqirqjs2i0i9kub40BOHjlrBFl8L9ae9nliIdgIT/nck2LA8mxsSX+kbJv3pmrPEroU
A2ifAgBqn6w+ulj51hzmoAs/w6dJjU+O0PTYTtH2sm9UI+ah8nkcXLk2k99NkrXCe3IKyba+7tpo
3JEEbYIGwCYrq/GYVu1aNKC4xBrPMgg66I8VHVSZAuCnHC1vycLduaxm+qrKfHXsYv4YZs2UQJrb
Jza3ic7pvHb3a2D2A7MrbfKMpXMZbfg2i7dxP6OI5ETN9g0csHrvu60t6GZ2KLH4JV0WcmfaBaQC
H05t1LcCCh0IOcJwZlPoj2sYdqsc9ZmV4yn0hgo5S31EXT0VazvHD9XiNg5r0LDZvkfJk9UZzZGL
rWin3pw2MmDQGkNzigMpmUt9rmha7xyLaZ5EXO2GLdbCbv5Jo5YJE/dsBzCUiYUFf9HY6tKkkxV9
uoQdz+gqZFAXaEjeqonLvFsRztcq5kfSA6IJh/B60ycxgXRU6yhsvR3D3K0EgJzYsuljAjFZqtxX
28MIZsk7E+I30Tr0YksxEBFfuz5Xmh1HlL1OZ3J0snmPQOgXqOK26If1ytfInU1DdlzrMRbTmrhi
0eRa0fpqcLYrZD+4TPRD9gpBWR4WiXy5on7Ip0RmQH7s42yY5CKp+5tVMnkcTH+V9SvE3PipTEg4
h1IuE72VMh3e2jSeBAoDyVuYvaSgDYQk65qv0fqxS+kZYOEZsLMUvXJT4QnLKadnWy9v5y2pDtLF
m6hcs6+q4UyS+ZIqNrxbtoh8qEP0sKCw7ddMXaQmOWRMbUWGSOmmQN91PrMi4SjvGQsPGq8kFsTI
sIt4RQWe4x4WqHGeDk0JeFEdtzANu1FDjEEaz0JpjUqEs0wMSXJhdZXkOp0yYSwpshY9jH10FzkZ
HZOpf5hamd5jYuYTabZrbYbknEp64wMDIQbqlGeWHRYOIIsb7vcowTTvsiyUsexSf0HajZ5PE79a
K6+Exq1sBWITvXGMg/6cFQEO6nzBed9CSSvR28jdSYeSPrfIyyJj6KrbVrlnqNUHYAFdjH11iLtu
p2VF8zHawps2SS+WLpryVs/DnRxl8gFVZip0Z7eT77N5FCls82010oMa/dvF+FPURh2cvVrPEKmS
sqrmtdyMRE8tnlOdZ7ReDtG0VipPCZZvvK5eAZ++VAMJYtxMo0FlshUkXh/yMdEW0FoPRdZ54/KE
OloASR6db+8Bn9Kz0LVTHm/rR0fRIZ6mRFQ987dBRsmdiXV8ZGqG3acKs203obRoVt+/cn3PRcOa
9Cpp1uwiTersQSmTXclVqZuIsMiLYQQnopznKLpeCYou56gyBdywXqexHwDVCLqBNvWeNG0qYGsl
Gxu5wynoPeyj6hAqbPNhSE8g8d4Tlia58VHAB9kk19OyXfVRdacz8jobzK1UWfUGM7Ms+2wZ1keA
r8sWRf2ONXU4hYo0Qz4A7lyAijFindXerVH8WisJ+gak812aseojYMFytSwGPYVuvp0rtVsC5nsq
fQNlOJHM7maNRN/EH+ycHFgyvuMtT96mCFBVk4kLTKf5vKsRZJSt+/6qJSgGxZGGUquV1aLvpnf9
1pk8c1FWwGnWR7mm8nEMEcobG+Rh2pbHSpL21FesVcDOdHg3xSCuERlv6xaUn63TKdfWvgysu2mi
+gCd1CTGZZOC+uS4xMgI2y+XPfd3th/PEzlfNfXoQId1/pWKKb7SMY8KJ5PbduAASH7OcQ80DZtD
e52pO/iSA6iOLk7PTI2a0jdWdbnTcIm218Om9sj4XTM1b0H8piC1cb9n/VwBjn0q9XV8P2p1x2YZ
lfPILygGPQyuVP00zEwL5W2Wb4OqbwPTYRFcVevjGigvax0w9PcVgQRYlHmvfdzd69VDV9aiOG/b
5b2cGnpqME2SXPbI7Oeq4nvDArBPNUs4L7Q2V9M4ApfM1SIUG93FSCotRj++XUEK7RVP7pfN7tTE
5sL1HBWLjesyeLYzOH6Xtbor+tTwfd9GO2jtBWjft1Vl4eNTMVfNjVb8WtlM5VXW3FMzX+gE5ZTa
ohnaOzau02lYQibcCs0ttw3AxtyfhRGA3wRt9w7p9UzFq64EdNK3Sz8nI8j1dBDRJDu5Y5l09OQW
6Nf00i+iy7YTwlEQi16z3Bl7JSk6GhYfqenpWNjVHwOu+7Ji6fvZ+vZW9RksW5P2BgDlFEdDsXH9
Zmh02Wf16xqjjx76W7FW9ggyCZ0xKluAJwln1sQ2X71tcx5n+5XAypqlBazmis+VcFDPRECXFS4c
4scVJf5t69eqiJauoNV4jRxguyL6QEK/vIw8NaNwG2hu62u1j+p0Fmlved6P9faxSny8g/CdZUPD
ct2bIBQOLO+TFVoOg8y5p0t7T9px344LQCpOrgKLDi3bOmG83mM4xF3IbCegcwItEc91nTOF1osw
rPVlP4DVQG18kIPNHZnferUNZ4lpEBWmm896Nbiiy1jHi3hllRO6aR8TLc+mun5UCNTbLIGX+DrU
rWAs5aeqi0UsgU8Uj6t8ix0IibUfC8T1Umgf6JUe++4xi/Swk6NaHlzU+hNJ2ZwTiHUluHSJy8Fe
a3eWzfWUI0anUxuAiYHpL0PteydIahjo2kzvwd5qju3ql6MltZ93xsmShNAI10Hb39eLPvUTdo+Y
uPOGBWjtaYKKTuFTI+VYVGBbXbYSuia1dh7QJQnvqwBif4Pcv1cgVWXO+XK2Kjef93G4GJrBvGMA
OyL09lLGYdstWYQeJ8jbA2DQ61ka/4RJqMqoRVOeRX0DTRRb700S9s6s/Nim1L+mrIc2PyxINIPy
+ZhFcDw12vcBdXtWI36DFQgnFoIv4lS35+AdtpdhgV8GG5sjHs0iGek7KPR708mPXePeVkB9CnR4
u97ZQQNMIbLTKXrJVRfOoLUFRJTveTD4erWxLkfUHmuuoTNtS2ATlbdD9VG1y3GIxy7kVprtammd
Ox9mLs/HtQm9qLXcxNji5OAaRu7AycuK2VfnpCH1zkfNlEe07896MmzCsO7VkEq3n/SUFXFSydth
2BB0qIleazERTMWMq6hIlohBC1s7zwurXBWJlmJ5Wka85aZz7k0yzPjagctRmnk7j8EgOk/rzZ9R
XekygCNSmsy4XbNWw+VKR3wZyFCV3Ga1CEQCxml/vw6Bn0nOnyZkmt3UQ4eGZ703KYdMrMKNSRd2
W2VVWiwDK8ywXAzbKCHEDcOiGTNi8gaM6UyEJtogvQNIcD/7rhOdlOS4jnZ4WaeLeYlrXhGxTslA
hQ5dsnNJ1Oy60I1zvhm2jgff1isEXx1I14wUeB3cR+BO7I42Vf5i1bX1uRxctCMyLSIShWbXyCp9
pyvXHySnoMO7iIqRaZTztHkT2PI4bhG6s2TRXoCvk32Y2iymJWt1c0nx9q7W0UurA7lvtatLEIiv
GO6jkkITei3HCrolnO4rNrXFuM0k1927UQ5dPg3MC6xZL5JM7Wc+HckygOiG0hDRSJcSg/ischR6
2ILcmMim/mMCAuIq0nq6BE1LriNbD3dp1z6pjSiwxvhKxWCr9tgru126JaY2jwyBjmZjx9Tj6aUb
ly5fJEvB8skCKFL6cXTm0PgamprVvmczeZm5xlyOo750Q70eoUmTZaopgNzq6JMky3bw0mixZOik
oqQGjznZmS2KQeTaYwrR7OHboyU4/c3dxBs7CBuimhQz52ej1TTNt2xV15wNQJRJj6JD4oOlgvZk
+sCZr3AOzQ+zwoFtwDCk5JFPjb6Z0xU9gWfYRLlRcbbmromaRWzBtddRRVCXq8nijypMyVsgC5MU
BPckX9N2PlLr6QQkne427gwXIVbvWtzTkibjKhzGqphopOsipJJBWSVGusPgYoCSvoJaENpDK5Jj
Ci1E0tWmsF0Tr3lLpy4F6ly6m5UM7lRbcFC1G8ESRwTc3tF0UTmsCohJdy0o06rBMh9ijQVxw3w5
j4jWQvPQ0jLuJ3bX4kYlec1C7wqn1LyIWdN1EdKPet2ZqZHX8+hfd6npTyqJHtN2pQQqUUf5PESQ
0qCooutkXgnJ625NbmUr0es+UdMTXLarWeDKD1Ah9Wxm4Twd7nGHrBXUTDSvCN4+qfcYshRAr7nT
jrKThgYC5Afablicqk1kfQ0SSfaQTLzC1T1D4TLCZBQDU91uTKOpgHsV4CSXNelLrTJbixQwtrTg
uDnhF2/mwuMaHXvnQEoi7i9t1ha2Qt39jNOgigojcMCUkdoW4N2bVIS1eamrCbysuZ93tm5OBA/r
O2g3soPrUXtJq/oyBfYos7nDp8FBJiKN7to+vRiNOkXNsIdMbEUV9S8Jr3wJFV4drCXk1RZsgF/t
eIj4etK2IQWnzu86cJMlm6IPDXJvGuqzkkZgvoJ+fvwkldZthpuFDp36dRgEx16BNaNlLPQ8lq1i
G85lWEld1tD6HHTCdC8s6g54ZVGOwaURvHPpeZ/g5qgTLImoKYNTyrJjtESgK1KZZm9Ulr0dVnnW
d0N/GFmyQEUwU9QGj8UwgSM4pSHZR5MFB4JBm61BGcTzrk1nt+OxvtxaXzZanWGbzAXNWJ37cZwF
GUF/Nlm4YBXcf1Tdrd/a5JNraXcs7YZDaPrbekX3xINHOscg7lu4y4KKIupGtstd3+jhJYmxeltz
BTYG20wJ8MdF1ukKTtlW8jpCJosFmuxwV40b92BwZ22d901aW9E1W/SSzHQ5X8xSH5NhGW/IoFfo
BwybIb+6EAHhabZLbH3G200fOQNmHSgahVp8SAUfJn7o085X+xAbcJODW5YPGrEahHgbuiDWT5aP
IFngFowai7WIuznhJeCPn0XgNH2HQ+XfRM3o2z1TIb0g8/jpIkkyfx4NcLUpFkTVDiw/+BA+ZDu4
6WpQzlKKNPTrQAO8M7ig9bZAS4/tqSLGgvfHMOyBgsVrS0gPDjg2WjnvqIbbNLEpu+9SPl72cRq/
mxZrsFjheux1nRB838GV8gWegUoLBPbrwY8T2BqjjZsyzjr1ysukTfPGr+iB+uVxippGTNkABAe2
WgStYOvb8b0xCJiHLQnZ9kB96ZgnIOqu0iblW9ljtZWhS1WOAfhBdCeN12JehvjaaF/VRzxuTe4V
KHOVuiOcnL8Z0LK+aeKMSNC1Xj2McYd3zdCBZuxdHE4MZ2CUJhG171czTdewSrWAEQtQLyxHSb5h
re8MXBpaEZMtycEGLCbMllPwYHIKyIIkJ32WHbq4wXVRqy0Be3hotgODubSYmk2Va1+/hz7ubGJa
HSbjqcs1dApT2YL7TQFUOT5j0J0WEUZOxGOND0R6d7VQ0hxjA05SXq/LhsQc5ui+iit9EcaZflwb
zi8yvfY7kIT4aQI6PkF65Dqp4/MundJUgAS7HIdpExot0x2PCBJpnHZCxhrcQRW2HJxt/woM5dYA
r2J0AgDON9SOgo6sejNNG1xpbiMfb6Oorz5IpA0vxsFEn8p5GZzgI4L5pi0L0Sma4kjnoCPT92iC
WJ6xhFVRWzYgdroysmb2+Qp3rdvZvC7z9bB6uK7KBtCcqDFrqfTibuAbw9H7Wg9HmbZwyuB9CVrP
9KWsLL2omTrGneI3nmdLbpa1KTO4KorB/YjNCBROYS1rhEgROVrWEcvyIdDwwWZxoLtxNut5A7fv
+3Fr6yWvrWKvjG31+5HA3U9BEjeWPaOvDFhFcE7uFtUpOpvGbV9x7gu46wIuaIc4gsurOfEvU2qh
auFC+hIc80Z47B+6qHnjkUK7QGYE7lg3mIsGarysA9x+ZrzNcg7ioIQG+t52a3ZZ82Q+6nqBa4//
S96ZJFeOq1l6K7kBugEkQICTGrC5nfpe8glN3ogt2AIEyC3kVmpUW8iN1bnvhUe4x3uRZjGsypGb
XDLeK14C+P9zvvOLqCqjrfIvseA3GNfj1M5x38mnZrD3Tbf6n3U4VddNRy7rmqS83oIsnPlRUjAA
i7ttvLmCxFrI29zNL1LU5KqBL53MHftGYNHFal7Fd9v7b9J1GgfS9B6t9lGR8ZXyus9KA1uBzj0U
X0/RIcsZi3CgjWyfO0LiwWCtEBxVWYv2NxtaXiXM1h7EEM5jD1Rw4rDzP9R4SrNtbDZ0Oo1uLmGF
v1GGnsrp+rlXkP03vfnXwdKV6TTObIojtPYoCKgem0RA+q5RHzFvyKatl27vKVlB6KvHmyWa3uq5
40cAHsuWNHzIoQEPRpBYjTiDEmi/UP96RyEU6prMKErC4Mnbuos+mC/6YiPX3uoxVI3Q0+7RGML2
tJ0JnsxkXQIJ6qPDIRpcUWisY+wR4uHKQV1/7kcf/u2ymriWRZBOG0O5Xed5eNLjCv8fS+xAvaLr
EpFT2Op9EEAy0rz4Fli6iXia+sYlAk0KTl2sNlSXqDCmyT7UlEjYXhrIQFnmD/6k0CGWBg9a3kGV
gnupn6n06i1e5i7A7zD0R88z13nbtFe+nQwOFpQ2OEyCV80iNLMrRA/JxYrSyHudQCs+l4WHvYtA
8wqTvlJzHNSeTdYVAuYU8qwpyvq8lRVwkWY1JltfYJ2i1tqWob6F6NGgXvKzYvbSBXt8EtYL36F4
F1j3OHth0t/washThuo4rfLFT6fAmURU1WfZ1G7nm4LvciWxD0QT9iTO8hecMvxGqW1MWJgXb4Hz
p9cghHYuvDDmYuIJ2ipy5fuNf28LFV0VMO6hR4rufva53uE+0OM28fzVOOJO/UIFPIP8QeX+h+/E
Xe6xgxELRKXcVx8w82YZWzPbyyrqi7sQ/S7MKdbjeW+3ayAYl9OQ52kVyfYosPbwFBT3mjRmxY0w
ZrfpcLtxcqmrdFyaEUuJ5P0T84MqsV4T3izGPLc+ax7IsEKX6t2i8B00lGtclixnd6MZpsvcGfRq
0lK4il1dyGDHuV5EOvchYIWKjq3IVjRXLQzD0bgEskaJvqKZQN1MxaYfDMQTGleja6452cY87my9
FvHc9wvstWXGATBzzcfbdWgL/zLvmGaPaPWGAoKUEz6MrNp0Dn6D7+EQ6AL1OOYrBZzSao0NMFzW
ae/awNv3OhRVshApa7zhwVrI5A6aQF7TRSYjVtiXgGs6JeFG4Fd3G/AdKAez5Qn1aNNewPfc8hj7
THgxVLRW6HV9C99l4+Muclh+WTWFLUs2J7zrARBSmzIVQhfESi2aZCwa9bS6oWrToJfB9cKL4Ku3
EoiJVkZ6lwfl9FzLDgKxZapJXW7MZVhMQAR6uwZvQzh06jIqcnKchctZ2k8V5LoIXMULbP2Z7WVu
1u9FYIObMS+CNmlUhdpiYGYbb5eWsOOwcVrGeM12yOpQuuGSUIQaD0EdBeh2jTd+6QCguax0DIu5
rzywRXIAFQL4pe2CuAFP1mcToTjgJhTzXyoBbClWWoHWCRQZjgPEhwAlsFlAHsAIA6wDKyyK0biW
I7gbB0pKDiJ6pZbPEBwsvO8Uxmn/Ok+NudSysRsOILWBFcABke88vzc27hYxvjWjj7W2NvYb3sUI
fRJ7zNlJi7oxKXKPejtpBoghTvdsTCnLUXTTaZ2rTIsyInEo0UOeNVH6jQLYGE+T3PoFbxAfdTxw
t3Q7v7Ch2q+NdMUFnmo02wSExxaXdJTXgyrH+jBR4WMjkdILT4SAIMpGRVEpFbWNimzo/JXf1e2E
4ppDJvjYvMg9FiaIXjdU10sy9HYcr1a/99vDMNrq3gRBJw+bJDO60cmf1hjGr/6KHU5fFn4NFkCQ
vEwUqLkB9rjK4UZT2LzxwsfiYwyIz95J1M8VNmMX2t1o0Zwlrd+PwxEMXGTT1pSSxkDm2sTULqyS
yKGBdejNXyNR+CV2RWXD2ArVkniz2g24SSYY41DNfE4GMtXokqjh0bUFaHcJpq6PDrj3gIe2sarm
PfyVfk78othKeIDGb9+hdZUNXNCO6vvVMh1laNQXGKi9KsuHnLqq223LpPjXrsG2ez/bCoooSJ5y
mN7HyK98CJC5V8IlYFt3184Ldmi/RKW+07Qza8Yns05Jzi0cN+6xCoWyr0l18xOb+W+IR5CTv+CO
qIhDH6CjCEIpCWXkV9yRlUz1uujXI7+oTtj88/Qf1/8NS/3tBf6JWH7thxUrsvwtYPz7l//r6kdq
+R9x1z/+/xxR/uOrm+F796Cn79/11fvw5588v97vP4qX++31z/DpL1/8Cwf7F6TrP5PQf/HNXzDY
X9j9nzFYBCUjjvPxp/v9Lyzs4b/+z/t/xP/1vxFE+XPm9Uyb/nGJH3DsOdojKBPnrBaABISyfsCx
7JMMQsR+fECp+B4+xx9wLP1EqS8EQaiThyEjeEe/wbE+EtWEI08tZSiwZPjfYWNDjlf/5VkJGRU8
YlKEDFgo3uSvz8pWACSBKFqcglHeVxoWUgEHPDXtJB4V/PcMFfcMwdtTu5X610MVPQth7kHLAbHs
tMoi110pDeeE++HJ5cMu4sFTD6BmLWAO1IRd82gc4nzm10Cvztp5fem1xqaOmod+AenUdFTGdVd+
q4Cg7sopfAx5A899ZFe+F+wEU99goR42Yh7msux3zZpMigGTXPgtWaIxtvxtm0bYCv0zXUKAth0c
i4FCsR9skYwCR3MTRu+rWPZ61encjPbGWfUdVpCGhlyXaV2U2JNDj8Gr8qZd2QafeTDe5S1MblN1
6z3rlH8EXvoq6ykDvbVfAxVzssDFKU5qq77yoX5x5YA+RKgTmFMc1COcGQ3C4aXGZABIf3rE7hfe
hNhJZTO+1sB6s3G0cH5EHyVDEIo012GGuud9HHm5G5X4Nrqy+epXgzuycrCHWk5TFnSQWeIa9UFc
2+dRjfgXNyzBzTyRrph2ZgBryW+jmYJCFHbvNdF9MOs5HqNxV4LChc4wwGFcIG8DkjlWtfe6rYGB
7B/AKipPvDdXkQ6ftZwfAeqYRFf+3m/WpzHaPo9VWCdugP4aSlYmfNVHeHsljq5BxdXC0xbqddxI
iMaj7LIIXX7qbXBN5g7e8ib0KXAy39NSPXl6BWPIxiFxEnUPDP5+1w14o25jz0j+7Pi2sZ30ZxzO
AC8X5rc7Ll2ih+UeYeguZiOqPGz09y1jh8qiIGyxpY9ldQP9z0vZ4N34NX93rrkgIkqrc5VXyvCb
qVCqGJ3xaH4btb3rfAOHwhy1UDfbrPykXFtYNqFoM5hDj2E93xW1+OJF9CnogeNsHfA9AfBGC/at
MPa5LlGQB3MjL4bVHqKubdNhkjIpXMlTVdsuhv3gQUFtceprFsN7+TKqea9tB7zbZnVevVRNdWM2
luoAhjYg1ATC12ft+F4JrzzmINbUZNCTbdExYlUWiO6Glv6RkvLkW+CpM36L2AGgpqi3Um3WSx31
p8Ys12gmzcmruzrpS/85H/gFUIGLaq0U5JX5FDXkqveKHbWjnw55b1H0SzDCAjbhKDg9ug36I/ai
AU8Q3LASrdTeKzzgjYKd2nkoz9bpTb+h6isgMcGDpWEyWweJHH19Nni+iBk5sylVeGU0dgEyQ7Lz
7E3UqSPuAZaNIVVMG3ctNXRz58I7cAYEbum5RDD9x4ry/sJD955MrOx2Dj0nHhoCZyOPppgsC/Yt
ifSC/7nb3HuzTUcI14mN/nFfwmuj/V3bopAiQwtfqcMTV6/skBMX8EQ0RYGPC007L3u1I/BcYrSw
NwM5k4BjnmemB4XdQhdFVS4zIDpjBnnohebtbbHO73zUT0sPH2y15si9COTY5i5Bfea7Hph26WQY
60G/8aC4zbn88Bt1gPO0y+fhs5+vH71xF0tVv4GePtda80vN4ACUIQpZv/BMdl7eca51n0Zlh8p1
4ebMSVSHpS3tLgjmqxDgXTYG4gYs9JbCT0ATBWAYMr1H9h2wuyPfKh6Pxu68TVcwYAr/Cax7FU9s
PYFkbveDV9y5sdp2gNbRVdN8jI1Z130B5RWl5ESArc5QCnLsqxvyAh1ayn5x8yXJCRa9nj/AXj8L
GYHAQklPDdB6K/LHKacXZRt+G0cIcTQC8DF05hJ0EezSht532ly5SvVxSN2dqFsTg6b82vQE3pec
4POqZk8tOlpfmFdNWYaJFdicTLljFP5VsW2XDYVcuTrvzpXV16bG56764lr0a0zJ9oiWH038iB/R
rXwAUA52sbD7Dk8gTEx5RDQESy1g2GgAtTx4i7tpYTUDA2MZvA592YFl2gUaOYJttsDzcnjDO7xU
91QH5Rc14r4GCk2WNdZ7LgVksCaI1sPcWJKCQ+VwPThJohFUsai6Km37aD2ZWkaxV4gxiWSjj0Hl
Dh4JXRL5Y+YNH1BdeYLIFBgPE8KIXqSK2Uwu2k20F0s33iBIIePGa75MuQX3dOZZi6k5mSZEQxnx
y5yUYyJacAUouHeL9V65snsUzmcRZJohIHny0C5Y4IsqwXQBLbTeGYyaChgesJTGmQOCGWBoDBbb
YL7qR8Wmd1kH8xne7GBQ5UHsZtkc0MQjWILWPO6a6SMK0T8FS6QT6Yck09aCk2rL80d/G61Tm0CB
K0Fz6RsK6FGCCI8lo+9cd8P9uZNMkAH4Fo5VudfUmXRUBgdTUal949EbrxMu1TUnuNvBcDBEfYgZ
QYJSPbixSGc0agg8FMmKpj9delscq7V5q/I3hShAR2oVI0TRxiaollR56mEMJBB1zq+gtsOuK+bP
jPTYVOZWHMLyBp9GDGz8uQR2PC3F17Adyc5bQ3NXCoX+0HN+Uit678roCSLQDcTny37l34Vzu2gp
L/xJHIYeKLFoevA4NvCSbmZBvEIcQEMDXS9QJBtqEqYKmaOdx+gVGCkVQyzPvJX1ydr2Osk1EkgA
jW8t2H9A4Q8ixEMxNUCvPbfXLmlDCYpHEZlUWJWVAyVcWexhLGYqf3UUwsXIKhPneTCkfSmGtDH+
nY5A6ZSdBpAyey9+Xk4wJenJF33aTJCn5gaYsl2qp6XunwdhTsZHj0YRsNiwJOK5MCeyDWjsP6B+
3/p+lPpc3AXdwgAu0Ahwjfo6+9VF26zf3FA8Lqi+j6Eb8AA3KA1rCBZsLVoAkHLXdOWxNZ+ns5BG
T8UUZFuzXUPdXWHVFjNcbVDoU8xC/0OjJgg2f7+18m7tYfaRNbgXI/CLktAnUoElCGu2cwGWQmQO
I4uWRBZuSoK89/D0Nc+9fCsirFjMANI7L+TQjAETG6F3tqpu20LjMYlEc0P5cq4/t3LHWbtmYeV9
LmljYb+D5F7L4MBbnqe1ZZlogJM1ZfDMayTH8lsKiLOmFI5+V+0p/HSz1mY3Iv8Wd1O395bO361w
jvDLTunq6IOjXv01nxFxYCNz2GPcGP/9ru3/tX7MQ1PEzinBczrwr+OJ/27ixB9JxV8u8qMpCz5F
kssgkixAC/V7R+Z/CjCCIWQ+Wi+KTuWPjsz/JCn0bBkSWJM8Or+hHx0Zxifhv0VE0HTDveN/qyWT
AmnJX1oyYIznSwWEsYCCGP5TWlErsC8glnMEdOrvfrW4o9wcWrKcj3vAPg8j53kiPA901EZQpo3h
uMvBniYi2sa4hyKRDXAGDuXkgpiqABtB7b/XTrboE4yftja6DvX2xpbyde3GUx9Ao4FhvCRLxL00
n+FD40hnsSiX+8jP5ByhIIyguefRm1rKIRWku61rf7iGnHJZa31st+66FcjdJbmd2IlXcMYDxHug
whP0QEV4VNPZxkNa8kqF6Lo8tgBTL4r7VeW35YaoQB5u+RdSBE+dQg/Ee3K9WPKIgB/NVOCWS1FA
b0Km5olX235ANKtH+ACMFLwQiDQp8nDiqGlT3JReEO4hGjbZ5sN0EOTr1LlLDQczbqpWZeHS4rzv
xXDyvLqIpZvzHZiHBYcdiq5OBx+dgLY6KMi0wM3c9Tp7fE8D4EXW0Iu8pwVCMsWSmGiEMnTW/Nii
YBst7qBo12R27p+Dmj8t8Oh2wDy/QANrDnO1HnsHensyU5nqobsZ4TTtIQBDxt3G/eqvLjbS3kcj
MgIGinJm81LsyaQsWlMC3GWKggNBaYPTbX3r1YTbiE07HYchvJqW/G7pEazwg7nf2/YAqMWh2xJX
eemeqVt39Yiz33PlXblUtxCjemRfUGEXzCBiBBQ6pUR8FqUdr4RroocFod14Xad7U6NICebq3hp+
X7nJvxZS8hRS4hs+5yY1jfyYhiKMGU7vTEbdJWlbgUOVgu9X+WESOFkNfMFnIorHunFmb3xgDs2E
fhFSYZQK538DNk2ACbphD5i/etFmlgAGZP5mqeyOYgmBmipUKmouLxFd2q8LqKZFt19ogOaF8Re3
4PXQG+3relkSjooGwSlyw7bmUefbY7DWN2xar/QQ1bEPDH1i85LiJ/aTD6xLz+BH+wlVvhlqiYBO
c1+31O5ttF73eXOtEa5C6lShdFCbTa3THLePIok6+GOaFziWPXdBOEIu0KVvcpZDsg78B9qyDvoE
DvJoDutU9jiTTDl+3tYN+Hq/nyK50+4eTiUcLWiaOJQK+cFg/s4LPKS+POm1uyxLnW4EqGo7NeJC
RPUzNgkYgxbpmBXPIyjVsQOj6SGv01cnKUYXz3K9c7ZPNsQU+IQ9hLrvakGjpTfYXltwCCx4UAjf
3yjeGJm7iwlBKjKQJ3SO9yyk3U6OlU625tzuO3H2O/eshpJDsnz73rrhLiyVh1gW0org8G760j4h
X0OOrnbXo+rePdGtyYjGNozwdDWCuaQLFajxXGbhig2KVtrb6bmi+5rq3TbKU+ctoN2hnsd0Gi/t
hOxhiFo/Wdp6v8zVAZDl3nTz40xRLYSgA4Rmet+sxbgDvAR2RCKMNMstNUYz6BpFEsH0QNuD/rCE
CZLQBYVE2FbmwrT2q9dWV9G0felo1CYFyhPoVXVzAebGh/pu3ino7cSFxb4VL6bcblgzIMmysmRZ
8z4Lc1T+SHQiQ8OxGXsdOh85DkFCwwGQsif62JfTHbKJPjLGw2NLa5q0UB20BNLVB/suaO80rJrU
L0yHnRNwCFiSb3BhbwUTAMaqXT+uu2GcHwaTQ6dBaQgdae5AgYDQegjgO+wgUT0V9SUuoHCQxqJH
Sq4MLpEijafybWP7qHU75XXpFOEjdts9NiKajo33OkdNGIeE14eolx581OmCzOGVByYHMA+F30QO
UoGRVuyY9wzcsKNHlvPvLZif0l/CbIoQTvBW2HsblL990MyfbeC/hAPEE4awZC6jZTd41IKE6dv7
hcB2LNdzRm3rmoTCud2BMxwTEvTHqcRzXEb6yCrx0hdfV+4fKy1etnYGhDpu3n5hpEyw4QGOLlaQ
2dJwlH4K8dSRJmYtHj3hXZABx4IxKpkblZ7TQMyuaViHqTRYQ9H4vWtpUvsHhca2WQ9byU+duiJy
zHdksg2u09ept1h+QtN550zL064w+y2s2rfOUrhJIXodxEUBQwdZUT2TWt5GXKAhL2nC0FC7bthx
16L/vEUaeBcq9UVb14FPQWAJoMWZUPZ8beN62HQcMVfHkMdeUKDiqNx6gpNneyvmaUxDGsFVQPrZ
mSa1W/0cNoxlAQBtfLSkylirxR4fyk3ol9g7vFnuDRyhBFCnQ2EJj0rrYAGYa28R5yvjqPUfxza8
wCH1Mste7M0SBCjw1W3eoLfoz9KI367HvGUncu7ugPrgfPB1HIKn2A949DJG5nek6e0ldBeERcsS
KXDVAGoq8FMhfs1iDb9ZMzxw3vSp1JV6apT3Bhx1OLqlr7N2noJY5MLi6vRxiNbnjlhouCLaN9X4
ddqwr7eluAK9EYMplA9WqwBd03JYSsQeAvCmxQsxCIzMF1BsIRxDKalfPGAdWoxpNB4wHmFPYcra
ge0XxbfMWnzYLFgSzDm4DCkg1rZdFRKGKmVec6QSExyq9btqMPVB+T5J1TKiFch7iCZgEwN0+djq
XoqivKXcInGVQxJH9iI4uR4zBiJ0+2llNBbsCp1ySda+eB2ce+Ne6aHlD6Gd6uhBD9N2moLoAwMv
agxmlQXIDhiTeqXXIc7BBOk0hEEdB9nb4zHwciPToiqfcqIUGhkNory3Dxu6t7jCPIQaqVoktbg7
8qI5LSvUNn/tplfYCV465y1QyMBHhsSJJcvLML9ywMM9EKh7DrMVezNNfQsHrfdHP1Zh8zWoxsuc
FZcewQ6nCj8D8fSBZIs7p+SAUUoElY1BXyJ8xxNvWobb0FuujHvvTXlb8gVZACSacL84TfTUrOmE
UQxxY8o7u0VThsrFYkaFfDNRUGZ10IukKKpvY1eDhkKC96IhQJDpVrIDSvMdpnAhbrXugqV+YdRl
HNLc7ClkCbuzgxwU+wG02eqPL8AIPrZ8PVCA6v6qs7o210K5zGzFu56jbz4k44HZjIrOpASxNkfz
p1wu6dkeTGCiFchiN3aPcRzo7WQpYl3RNVMdOHMPlGVp1D7Siu/6Rl4KhLESMq6PvcerS1nQd7DM
NunK4X1UBPuyRLyzcGufcgaeYxnn7QGZeZsU2Be2qH7spOftekGDNNRzkMk+Aqdi0agiImuTgIDb
sFA/snb1kJdQbY5w97Tu1s62SQ/pD5DArCAdhje9t6osiDAbAAbk5whl2851/ru1FS6hzItZoR1y
kz8QVWNQQbEdhdXvM3cwdKx9KNjm0sEnFLWLfpugsu8a4g/xDHI7xm3CdsSNyRw+yjNDvKf9qOMG
lU/sirO2KqWAMDO/NLRo92spoRpQjXCh1N2JdkBg1lqczzaUdBN6EN1u8aiWDdUXGtyZREOCcRHu
OZwhFk/ED1DgkvpkvBa2Ti6Atcsiup298nNB/GeGfGfcjhLyRb3JKwLHKfYQcwE+OuTZVET43SsB
/T9cB8jM7bKvl3VIA1qjQe9VmHgVLXdEB28BIvd3fZ37z2agDyFjdUwcAiW59s1pyxsIlFOPhLND
OjfjVRXuAEXaXVHVMgkoVIZJ4buYjsEONVQdKCn1wdSzPAAI5BgMZ4sMRQaGHSCdjaAJslhz4w9J
DWdihzj/+SAGTRK0/QeZsKEQlea2fQ0YjiUPy2Vt29fSeH0cEQQrC1Vf+JY2F7bIRcpnZJmqeoGu
gDThAAb+umijLp1hAqV1XoTpxrvrLVDjjuMgSMFTYH8ftgmIqJMxM6xIQeR8SPBYJ9hL7U1XORRt
UNAnYXvcMvM6h9X5HGZj5qs6wl5GiliQ8AokkwXHgGk0IIpDsT14bPhoKvJlG2iTzEFOT0ZqYDvj
sKYI2ngYLDJ/m9RU7uucegn0/deqD/fopr5K0fqHVbFHj9IObL//lcCQB4zVIKjTY/aG7TUMk/Jh
tgtAQijdSSvMGs9uOi0UjJrAAxhL7r9t6wL5ELJbHJVhgvOKxUUTAPEaWIYQ/EGfY8ueN/X7SHRt
RhVguaYsL+BYdbFEuR/iPsVs297askUSUsB68af+C7pmzJqx+noB+hKLVX/nJH/Oo+ECz9vt/yBh
BrOZ/hth5p82+Xl+63/+hV3+uzhzvtAPcSb6FGBcFAYSUPYnfUZ+CgmlsL6Bm//imFP2KYzOCg2N
SCgC6cPo/k2focEnDgFJQush+BkMqPo7lrmEOvSLPIOdmYUBmuEQ+hEmsJ7pi5+GSWH+TiRr1C/H
LgyL66imqI8CBJOCZMKol4duG5AB64etdMkkwvp7K30YKMjnArILOXQQpGr9GnBSDVsNiNqfxvGE
o+nvfDbwD0xnoQ5AEUGGamY5eZy2gt0VFkVmAvmSILTd9v3XIbTu+V+m9QyChd8WbNbjQcrcnoVg
F71YyvzH/KfhPd62eXnCEAg89GGHMUKGrNU7UjDvHi2Rj3QtqV1s1w3pohGxUQMfq2gKnHLF5EHe
qbrPq3EAm8Om2YrDEBqxq7zJJrk4c08K41DA2Yb3GGOBjNMsEWBl5zBxo6DHzg3rCe6dvu8UDx1E
4ya/d2ge8j1oXJiCJR9ceTQ06pZ43sBmerYJkf2v83UBB+tHeq+LErp/MXgtZu2I3j3gzonvndii
c2FWRo8YPnVdRKy/N4N2DbCAqJXYrkqDK5SbW+MlaCjGzmBIl0l+etZv/zlg7D9+mjwGSOPPT0oY
hYIH0PigYZI/CXlrwGvnw1FDmiSMjn1OiostH1y6lGN3NaIC3P3/v5EgjkvleQ39tbr7818m+LfI
ze/X+LF/hNBqCfWFjxWK8Wc/ETdgcSjHykX1AibwPCz9N+IGf6iAgz8DAgPFNaDAYv7YP8gnRBPg
tVEQN/g4cb0fkNFvD8F/N44uhIb8y1MhfeozDioLOi+UMnreX37aP2ZRVlMFv/Hg0APSqYSfAD7t
T4Pgtm4NvliOve5UgDjCAb5it0nqJfdDTBxZCAHhyzB+ykqi+B7q1HbfjlVzUc5jnfikr9YUIfgO
qZt2pugTpqUMsskf6qeup+29WPPgYXbeHMW1d04XLXqqdTwojC7IXFm0Ly2VU5v6A2SkOYyWSzCh
pHmAtCCwfA0pvTsBDkXGsFfIjQyWuyFYPY1shIXMPK3qtQSOhwLWcffFDzB3L7ZtDaLOKJ8fEZYI
MLrDtqxGikFMIlmpRMM3RYApYriEE9tFxOkHjXlXU2Yj4Hfh4HykZRpZ3ylMt6AIPnC3R86m6LJJ
VwguwM2B/hct5H+Ac4KH4kyyAf3764X1F39S4Q/n5I+L/FhZ8pPw5ZkrFIIxzFP8wzkR+DsDXAQY
AUki+jPLRuGpUBHgL0j48DN+YdkoxZheDhSUCgkGDmMa/87KAkv3p6UlKKcIjMKBCTm223/Mgfxp
aXGEHZoa/v9x8lc0PJF913B5AACLTI8VtDNoymqCfmOEPFVOAAbqDIWa5l3kpv4+OkR8NpO/DQxJ
Ctd7IpFjfZHXUZnUoA/8Zeh3ZrTtl3FF+4YaBD0yLez1vK7I7XL6MqPFL9mmLy0m3t1iktmNVuBR
YokFC/nFHdqJr+nCu/oOMx78LYuY2s8538llu4aLfgnW+IZb/waz3uy+5mh70fFhIECPsEDBHiap
QgTw4JlfLVQdtm6rUjWG9mHlVVYiYJdZSEtJDzUszqfzABenLoIKcFv0f8k7kxzJtSw9b0UbYIJ9
MzWj9Y2bm3fhPiHcPSLYk5e8JC/JnQiaaAfSWDUUoH3kTvQxS68yE6UqIDUT6k0eEPGeN2a0e8/5
z/9/p5BfeOwq6Dwk6mk/97atCkx4WKbNmRjYYE6/IGKNTDmX4X7aqNCzu5MeyYsWUQkIQsy7QgZY
APswUTVW770AmUhfaa41ZyhXcaJIkubxRQ7Zsev14yitYxLJZ71J7nCN6jBNMg1DVaut8tn7Ledp
O7QVMrYfDj3+peCktQefinw1VCM6vrsn4VqtHdf/5DW95J4aIZ6MJA80H9newQRnmnt6BLTvkq6d
l/p58fRtSkFfPMndKIOwHqOtI6sDz82pp6GhD1ulgsha4hLDUOWwGYtmF9V0coPwtF0Uxz/G0nJ/
+EL/zHz3s4wt7ZhmROEH1V/M2nsBWDJtdLIGjLa8W+zQLruG4EQu3U+ZiZMZCH+T5+Ulnfu3COjN
uq+S+FItrjeh1Wutr599AzyN79zEUB2s2DsyDM9WZXIxXOYv1TCG/Vx1p2ruYC8w6h8x9XjJLu1w
ceORiTbkFggKpADzPCubrgzP1poCD4F7bUsvNnLCkzz2vOhqBxpahjdIIFaMtGZIYSvdcQ6GtzbK
BOlnQb74BtMeVQ2//FJ7rXOXInWyb7nZv3Do7qAFriuuNKT5DOJY7H1kA0GtOVfZuu2CeG9r+qbN
h7urBQfTry+yAn0Byml5Tkq51fxvbDCF9q2ZzrPgoZqPJUAGLJLJuB10c48+v2/MesMjeansalz3
ef0y8UMmrhM2Y/mBbhZmxMgAd+D2jof+2WiBaVQSbTt+1NzxPHSnwHvEtnRClD6pkebbdkLHqe2t
Vzl06LaxKgkUrUVSfcph2qaGdTEh32zd2FXEGOHUROluip+kn+3ajDBkM5KJVhjCNfI65NvIFliv
3qidazHsxtpYU8weFRgNY/RfY1iveFzGdSIBYlR1dTQ1J0ymcR/jP2jaMjSTzscuOR/iBBFt0sHT
8NQuo45jZqJaaII8/Owl59RFOm0SEvYe4Fne4qYR13pAaMrOeSwPaWu9wnmQR3s29jSoj4NfqG3X
PbtAHTlMKHdXo6VOjAjzTY0n1ey/U7e4NPFA2Ik+fj3NOEWC6bMf46sZGaTsx2jVDI/+pK+m5GfL
2K29Ye9ddT4pnDTCGWm6MRZPS4UuUDKOIGxOTtKfIi37jaN0yKYNUv6xMO/4RVdxe25b6wcmPSQ8
QZI6yWB3PDT+ofudPcSLGQf1EphidiTo++L381mviVqQ8D+OOqxSmofLpJr3QfOhjGjqmFTRxS5M
cz3I4DH2RmBJGrJUTgiiZ6C5tkxBRCWw+Lx31EM+0ltk4QbRs73R4Z4bbf5e6ca+4LkmlLwfZ3F3
R/g6k+4BB1MEkUfjmDfOBX/rhVfVgU+hvzqJn62rAAWbNJ0hCahnIrc3Ezmntu85RfT0g/T5NggI
ZZPB/q56op/ICCl2s5KvU1xa1GLsjR+6N/Di5R+6Rm4F2hXj1cL/0EtiNm0xYR+NsoMF2HMl8Jvx
8b22khsqqgdIHTg7lStbaJ/tezF3d60nzEJIjedDFXKtwy0cpH7FC3aqWz1ep0WNQt/Bq5DGy2Sb
eLS0HwqY1CbPgo/M77+6euGaafNvIMctmUkhn606RTuzF2/fAL7XGdQ1zuUrntWdaQISoJN9cWPy
QC7GZNJPKxJYd8OmxwNiILZTblxrPOPh6GjHTjU5WBDgR5WfvHUN9DxDJ9/idTev6uwQy0e2ozMm
EQL0EbIIcC8JqGgtZ8yZdJfmigjVyReDQnjsrJUYte9R13a2MhTQt+QRSFqxroAyO7M0NkbtHoqM
IUfl84CR+JYNsu4oC/ToxD3kqf+dlN1T9BfzqSWfXcLAFvQeZijxyq7sH2jaYKRIuxwYoNe3LNam
0IN0ple1v/GC5jemfGqKyRCwb8o9kuIX1szngtQfJ5TxafPSB739XMXe2eutfeEMF3/qEmLN2Wc/
eT+ZJd7gH5grpo4HbTa2U+Eu45BB8CxPON5UQEUcPziReswCEwTTcE8sY+tws42qOMbx9FZM3sb0
4q82ZvBOND0EvQyGzUAQN8bMx/1M7FpjWL/SNe2euMED2fG7nRTIX+lW9lgyNDC/UovvMAa2bY/z
vqqKj4mscjjPxosHVmFl1e55yuu3KrB2riUPcRx8dAFu/Vo+zxUeus7DPeAN+dXARqwZ6bUxnXdd
Vy+RckB55e5dOInY1FQ3EI6CB1XhqTMza58Gaqt7ztYYLJCN2UUEfHTBrhylPj1bs3wtymGrwx4t
TBhxVQpBs2xvYx4DRYg2qVZyhWeh0ZJ2bPNL46U3EvtPmpg3RdViKWMA6GQmRkVQlamaVnrcnDB8
TSuwqzt9yN+h45yAeOz0Th1MxperxhQbZenfcLh2DBmx+zHtsyrtWXoGRIK5exaR9sSN7m00F93Q
4SM30MMLw9tiuARcPT8BzOIo0gJ8/+m5N8xNY1nxqsRSTaekrZy+2LmFLFaqHs+Gnm8wF5JEMxgX
+v2VbGEYu4gsgUBdH+qF7sGYntKFdLGVhYkVvwcJM9kkqFuUjMFFY27PcnFck8Z7xFBLf1eIrlgR
lAOnSD/2MVXBa5Z1nAVJweOqi40toH96IuOkn5k5IOnXM9N1i2HLUMQnA8Gc2qJYJ30d7XtSVUen
dO+ugoat2Z22bkrVLzXJXRnmEr3a9a01X4hUMpdLRbMvg/wFfF26aYoezHczzwzNQa8JeyKWaEb3
tKRosus5C72uEVhp4ke7kz/JhrxFWEM3QYqxkyFepJPwIDQMZ8TcOjk3Fm3iYrSBj2NDMyAv0AKf
HeuHUuJTqhijx/qzIEy1KtPS4k7M/WOtFWLlaSRzI/kS5Sb2ewpIP2MenEXuTwf2LMAgpsI6fIyd
6djj1eiGeZPbFr5i1f3WkwkKDV4Jihxs/narmnByNDxQjYPrP+oe5BT99kr9BwWdoqLXhx3jlC+l
lzKcLf9RjxM/NIuO8pWZOnCg36UqX1RdWyfYhdZBzrn+gADo3exiZAwPVBUkJrNPp8jOniGqNeQA
h1ClxrPL01/vPS/dzNSRqxYzhTWIOwyeekHjfvuuPZO5bqZ9rJTEjSJffWeAIZC6DxM2h9iHDlxD
mVtj+2dC60x6qA84Ucj3FCshTLnREmvaFLN5x4HCd7BSBpcGb3tV9BWkhvQe6PpwNPOEMmyw8Ep5
7Y+phRGfx15y83xyxqblTmtbp5fXkhh/Uj3ILfRvcsyCO63zencLSCT9MeN2CJuuQTPsh41eHxLH
j89F4gBQn3KIE23/0M4j2Ap3fHCHjnwyJK21meQ4K6Q+bAp3ociWuDZNkXzA1Xpt+/Krsnyi4a5l
0UtUJ2jM7abr8WFYIjiQwqVOdjuX6WJLAASSlE/Mx62ijZPr2qrGPRvJ6qEak4LpNwAmr4EvnE40
jD2fRLRahIXSTW5mLoK1ObZPKbtnVj69KHiDjN/bbOUWK0NCswnhaxKPRW5gFor0t4ameW/OjF74
6PUrinvzIIHN+EaD+wxY8aoOCFtrowGA1aRay1MrfrCz+hmC+nWuqROiFkaPrgU/swDOa5f1PyOO
dJ96WCE+l34kV3NPgKTMb02NwR3e96nDI3cWuHeo4QwDSYYBczcsByssmhEcpF5UMMwGWiBYm8Op
u1hadGRihO3XxQdjEAHuINjL/pwufayNbbrKe4ZKRWaEajENlab+JhNmL53AsOR3Gt95uWJorzGF
T8abi4ljLarRXKV28dIw5dwNgYYpJ0h/QQiQP0W206LqNmKNT7srtXFzjfnoPRoOhoZsaucNyNQ+
VAA9noJxkluivD4mG++9dX0iATHx6UT77tpnSmK/hz+TXhIBuLLo0yO2oG3AtbpOMZvAbL8lBdO2
5bO8HQw1PIhUVcSqCt4U1TnayVL+fGot9e7No465ghiyho1oJRhGAn80a/rNiNd8ltNuBID5Yhvl
rZTelwGel2AIJ1CDkeZE/AzusOervRyIHtg2R7McsQ4lrnEny8VgyZwO3dgG8LCdnel5h5EnKi6d
/4ec5v9vjt9/lpyWzXX/tm61+vP/+G/ff1mg+X+Vg//6Jf5QrVgyy7zGdkwMvLzwf6NaOX/Cu4DT
lp0DSFd/6/dFmnJZXesHDmtLAt9Hxv3D76uzjSYwTB2T7rK4hP17/4Ae7Jj/ajuJjVCEbhb4y7cL
lrVjfysIK3uoa4Yn3Lgu/L1WOs/0Kms7fwwiwEdNAtJCFZsA3RX+7lveR4gDIED8OsLA4H8ko8f9
A+MyFddAIzs38B+LbFNNb2Tv1no1oAGnmxF7lWFXL0MTEUAGOmqBa6LkqGN3O5FQ8G1xAHoCpzPi
LJou2lhtasA0iYNEO7hko5r8Gs3jgX0YEEUYtbtxslWC0bFZhrDgIImrA4jsnYrSh66QoaND2dDk
xUmHXSuKp1GLvwbfqi4A2B750a7NHH1o2bhj1HYXXQbIaAQkYlPp9XqTrpuuewRQjECm8PvAY/pU
vshY3mLrHFzpB5SnA6ZKYILMjenVJ46m/qASKuJco7FIWL1CD+Nu4sr1WIgS7Ft0mRmULlP1X3kr
bmDbVrprniH/XM3G32m2PGVjGRM7M/NF+25Db1ZnVK9v7n3QcVawjorpYUgxPjqBce4t6WGJwAcx
laERN6HQu70DLNAtvRK4O5ZNcoq44/RQyym+UuW+YfpZgag4xZm57CQBS2VShbulj+tfM+SWwu4u
zIUIAf59GCHL61W/jzztMneMDT2PoaAN2NPWPoEfHMdRXIoSRIcyRDjW9AWaL77GPjkSht8NYrj1
M7RcjYy7sPkzFscY6Ykp2K6n1K/yDrZW43/3OWxbU/e4u7L7ICkzAMUSJcIA2Zj6xaqlCzzBwdAQ
XY28WiuCQWpBz2A8T1eRaeWbFB8DuTFut0HwHEcthqiasFjlpfs8l9AKuh4z47y30/RBArppJfGj
hT3CRX2DuLCbJn/jm71YQ1Vba0P/MDeQ+bLM2BqNhSel5E1V7ZYXrVt5bbEN0n5PfP9atsUG3fO1
ExQkfABX8Ie2CXtiXB1LF+lLKOvYVjyqsdJI7lM+kXZzNrrm7cnCMUYVXKKMWhWbHYr3RRId2505
Q3qmN0+465BA7liwd7LXwtnWzwbu8qDmg8IQ1NCwpw0s+fnOKHYKZW2xD5LhYqFFui+zr3gOjlry
q+8lqUBiYZEKBRQ1GsdHPW/3iEHbppkw2oF0rPMKoP9XGsswn7x7ZfW/xirZQbPHRsnWnrra5Opj
SNJzVWjrkXtd1cmhA4o3dPIc5LCwEnw1fhy9utjoBWT6BJziPOXbaPTXYEIR+QryhLfIg6fMjgBV
g+DofxCA5oGWx9nPXwSkOrezX3XX53NWUa9H60C3NjKgwJrtxSL54ANjSkCT5c3jnD7V9rejmUfb
YjgLAONgjTzrVhGspr6Bk2E/JP6TpZ/M7mmw7hrXZ5D0R+FnmHtdgHXoF3nyJdrgPGcsNEGkzEbv
OBeLE3kjCNYaBtrO/BBrxi0S7YY0fThMco8TcpWM2U9O/Q0oKTJl12Rq1lCQ2+Z1FK9D+lM1jKkm
Gt2FWy3YnjK921mzskdn2tm0yMPkzWsXUs/UjdjlBYjNZCE0ux1PmJmR2SoNQH7aS1tG2wxVM65f
Zy2A948VNEIXy7Duk9N7SgcEi3ba+Dh/fAizEyGulnLQjrpzG1X7GqYVkv0SGx3o/YYPlhxdgqn0
GUE0bEIYf0d1ELaJc8sqb18ARKow55tGshvb7jwMIOt0fv7C5oUsMNb5S794hOa8GUdthz68rAcK
e0Dbg/MRpwfZXUgmLrH7TRacgu7i5YQkHP1DsOilB7Yr+4d8AleB76rNCD+Z7XqgVZvH9hCVCYHJ
djOaZ18n/pgwaDC3NpHyArYwqMIoJfGbX2qR490/FjkA8PjMBIWSPXqrsK0l9vRhUTq5Nq3FTK1L
dIs4CqlJLYQITDww28SZYEfCzgFklVk/BjYrlMOy2qAOjRScYIsiSZFrGXtoWXtvpBjL/cfC/ZUE
v2s0COCsYVvoVGPDrvEClDOw7dPdlRDU01XWbzr+xVjlLcnCIpk2Wif345hsWF0V4fwP6nFtkJCA
vAmsCAtukq6xJ8R2snOD5s1CWG7RjoTScN6WpKjL33Gao9Q0P5IoIIifX4O8xWr/LDn1tJ4x0sIO
TYogLA0/jOAOxZ61s/PhYAlmHCZokJStM/GkLsnwXWSvOBwIE/ibdsrvyu1C5cfb0hg+bR7NMcf8
314mdhYU/AR+NW+J75xZrTVvmPpBda6KcNK7/zCDziUk9e8UjP9M60j+13//8z/9l+9/r2jky/xR
NHpsxfZ0xvSsHAyWIu9fQmLunxgtYoz3LZtNCcu3/sNEsKxkXkxBFhh3y3SAafzhQTKgdhgO5R2u
IVMn1/WP1Iwg5v/VpNN2ScaxLwcYiMs/f18z+v1kem4so73dlORoGwxA3cYao4dIU7cmZWdCMD9o
Ix8Ng60jAxlwxwaUWb2yuweJRitWg8ZQtOoOGFjORi7ZB+GjiKlDOSU/WETxHCcOcJr61vvGZY7s
F9HGYap1z8ocj6xdXXz/8YvmV9fBHA5VN366ZXepkuA18p1HIbT3SPOROEFsqWG4GNp8ZGnTHmPr
la92MfThppGKHnv7IrImXLpS0zW2Am1rPVsg//1sOpmutjOH5CBqYhQTDA3duzL3QMMcr56kWMaH
wKwSZctnjtfEAU7w9FwIuY0c0GhsCgB7dEuaPCxiQRlXf5jctgR0H0sj/pCticUIjtGqVQJnkF8Q
CbDevKG5sFCMM2tQ2zS1w8LlAItcPFfdoo+V6wz+fDBMaAjxI88IvkdSeDwoKy3qNrWnvaVJu2sB
XQBwPDauxkKZhkbWxW1pwKwDhWFVztlzg11nOe89hAjNir9HDwiBpp2Npt03klKEjN619bExVeXX
1CwIs9L7lpJhLuz/NYP2Daajo7aEojhWdXxcJnzOQFS7eKyOddru8Ex+xm0K2mQe9ggZ1oo4AUgD
x/2AiimyA8zPTOyrXtXbKC8I2y9yy8hV2ywCTFYrBtFIMuUizoBETMgSwFMe8Fsg3wzLNhBrkXT6
RdzRF5mHfCIX8CL9gGrnru2Ut7YWYchqeJck0vdt8gOCbuhHWo/sZ1qgyp02GI64Yu6trlfbimNv
PZiU2NMiRo2mfffAzSLx+uQPFslK5XDZ0zo+mqybYS8Q0l9BVmvsxcoAOJ0H6qMw7EsvixDKLymO
NfREONTTo1Xouxp8ixj6eo2J+MjqkC2juL0na59Lz1wlUt+z3Iw1U6SG2AA0vwfKf/EalgB2cihC
t6/KMJMsS2qqM9OTHNgKHvypDs5pjBBT9MZzWpYx/nX/5JhRifSaYUTtJAr7ErGuhH01Y4M/9o5O
i9HAldxDAkFqpdjGopkx2yjBDLDkhR0+/tVt4wMxx61bWs8xl4JmISUlafzQQZBttZyso3UEnf+Y
+uTJhRnt1JzWrzVcx1XLAoG8cn8PujzWcXfv8Aog2clbYYC7M4EkONG2xXfO8IuyyE1AIi7hOOCH
z1aOlLE47+w0HiAMwkSdK/UkBiKdcxI8tWn+0OH/E9hs3QxOvm6RCUcToTMpfg26I9g2ldBgpsGv
Lsi/Skqi0G0AhiCUgmuwjyjrjBEK4lGWDk4mFQb9iilvFYzzVe5BOVNQecl6Y/OGsKCt/C7KQxR7
NnckWKWVjD5tu+zvQ2XPX+2UzsWhbOpP2Ymn1KSPHWwbDBGNih5sMw5L17bBd8fuC7OeHZavPYf5
mvjsT7N2zm1Nt6Ygccwt3HjPDCNX4PoGBdyZ7U65TrNiSRq9oWc+G8s0xHCeHQGszRcvRt+d4eKc
PL3/1Oxyw/StSoAJlcW55vs3drVO2wQK8RzanfPmmxGRyL5A70uItpvaZ+/kOfxN796mxUtqJURb
vAd/hs4ZrYzUAS2OhpgUsGuz5xTTNBgyfgvVsRSEvXBSe5gUzXZrie3Y1JeiyZlez+37TEljGtWj
YlzZQLBZtYU4RDmrvbTga47hs8T+O4jykE74CsTyMS/ZdxeY+WfTuic7mG9BKwcK6+GQGzQwWdQd
MWedbQaoDWRQqOsvGHzg0yYPVentrBaQO8WKcqIHJcFQ585W1uVedvIXg7Jzm8hT42R3PnVgHMd7
KssvQCHf8K+fJpuYVQNbube8T7+yX+2yXNhO8a0bTKqwVHso/eKzSrrfRj89xHA4V2UcP7Oz8dT0
pBXgbxwSpRPRQqJcWY73WqbdA07QAexL6sEego65AUBYhTO32drMyTvK+u6V4Kw1o+Hwsp9mp/9u
Wn9Z3+h8xcMyi6z5UADJGMMWLoATLCsvtObmd/KrtEtk6joFPU4wMK7fDdICee8dkQnP7WSeWMi6
b4l6wnTC9YnnPWh/+TL7bBXb3kS2F7rzNdQRExCUnsjKHuOB37nwLVh73YftAGaMmVQpmyVckPsG
j3bBAZk1Z/HeVD3iN7CSav7W8+ix9qA8gMbc2127T6uEe65d4478ZlfCvpmsRzWO57li4xjhW+iu
sH/MYWfhMyo64y6i9OdgjqHLXrgeydWz601V1vssss6TW36K2b1ajs5T3oRp3l58zbp0bnkWuvnm
u+ZBKfPW2ss2VaFCO6mfhwqaxKy2fc4asrzkHVFOsW0s5ytv9TuQmxxg0XTm8n/UTEYI5NJyx3rQ
WN3B/EutO3Ce2aRfs77j2FP3ZWLqeOauiZqfUGmJVo6gd8uNKlvArPpVATokp+Zsand4NPXutzX4
b07ekzaCpDIbV/CPxaZlASEHLwoX6gkRkNHJv8zEejNNuQVW+KOJrV2Sm4/aZAFpV5hF0h+1o13c
YvBWMotPhb0wVAe05wKImD0dqDgumiyvcqzA3bt72Va30gokgQR9Haf9AUeUINFFJMnqCczZG8It
P8VQrtWow7jGZNFazWemIarAfN+21XTTcnAku6SofjU+QE7gjAY2muE2p/BIpFQdOzTxtKEoOmHQ
ARXN85z0VwF1Ktf9h4zSTqUi1Ca8btKqPjwSmWEOBYspcYKHgPUUevybGM4MZYvdAieztXGHEIqd
zY0th6sYitepcHaOI1j9cWwxV2u9fZ19+QozCMJXszNS+ykhaULX6G4sHcJVV1lrmXKQq3FBqHgj
bOKa4UBnn7o+J/6VbTsFeqZjqibd/MFOmsOw+MBbzA+9+2KX2htZqiutTQmXJ3atFfHFvcYPfs5x
BrBoVoSGnK8BlQrpxk9yYBvgsHtLa5fVNDStubFpjPmAfS/bwQ9Z15qxBReNYSAmmFZJuY98Y7GY
PTIi+ZLEQliLQAPskmWHI3PUDcvfCcGmhzw+BOwZa2MuwVrscXf/jCLnHVhetibT/yPNhbnudCaL
XpPfBzcCXWLePUcFxFjcl3iAp5xO7RHs9Qs7my+2rv9kVeJ2EdSCwGea0TWXMqneIsmvhtosQ1YQ
3ILBPuY5rCpUmxxtEOQ3U4LGt1aaMnhT9ZcJKyy8PTIHZce5lnOS2GP9YU0ThZ3uayxFCJxDW7Xj
2vbQevNMlDtSzWI121Z19jqadtvw5zXprJ0Yp4+hijHxkb7eeRoz9sVvWzJ9X7VxYj7S40AwjfHZ
BsCoFAkw3FTpcJPMC5/g1R81/MxbO4jTDYxzK7SmsQy5M06CvNWK5dXDOp9TQMhuh11RpeiwaRQc
oMRyBnnVlZBlwkU7AmHvNe0K+kKy21iNe2g4/dpurb9gB7vLRG+Fk6J9K0XeHAmHbwst4PpwfjkQ
MajO67WAOKQH7ks3y3NkEhBggS+evQIod6aaXaxPGswqjQ6Jc9qxf6fJ8EUuMsBnMsmlmJ23rora
Ve/2v+2IXCe3TMuZP4NEVM2Z3P+xKJ13VncWFyK4fJZ8BkyORxS4MKs5tErtOsKOgTAExptbu/HZ
45Jb2yhAXCPxMR2hLsAbGPOzbs576GsuzwqtQqX6At8Na06ajqOn6RhvDsFFLHtM/EYWG9nrb23c
3IuEQ9lM2xXGvZ3RRURQ7KNPoeUK9SIlNXluWA+Fy4IV27XfuzZ+mbAQia7h5YnjYtvXGe+Kqm4C
NXuMHFoH9i02bIMqZboFVD2z93hu9iRZvK3nWg91kz0ksiasLQM2wUCFdUaPtVwRx1M/L7qP9QWk
J+WL9v6mnIsnCZLJL1N8ZNV4zBx3p9SwbakrVopwd29CkzOdraB7IRDJNoXiJ6gOCviSVYVGvOXs
2raB7P8DKBv/Eo1axlL/trix/5//9T9d//xP/zn9W5Dp3/2/fyga7p90hlaEHxioGIQm/qpoOH8y
fSZdOGl95lnYsP9QNEx0C98xXI4kMyBTsfzVX8dggHIcg9nY/4lq/SOShuMjm/xdLoKG1fds3Vqg
phynJuLJ347BBsgjk6za9KjVJguwxtOULCtNRq6nRAMhovt9swb6dTEMGuY5oievcODGOVCA3qy3
XAAh5JF0JYYm9IfqS5lxuiKDzXNbSrEXXnOCg0bswO+60CH/p0f+Dtsmq5Xa6AikZk0oDW7jXJuh
EcFUKFhvs3YshcdUJfPWoQcJZ3ZbumCCthAgLizEqx/zqfqRlBDKoeyRd0gGYoQ6mrM5W9/1sl9e
BfDooRWAwdckimMzkANvs1cOA2Ah2RMOT1SXlGKxKLajCR06yFJMmw2SDpS6Yitbh3a3T342opSv
Y9kwVdLYWUJYo3oUqWDPiTUl3yLq86Oa/EfFm33G8sCkvFUcFLOrH426xowDhZ4ThQFSJV2NxUT9
+KKUh5YcQ2qrvUyw6cM41z6O0JpNBduo8vKzIrX70fEbhqqFPjg1rLSLwIyn3LZEPuAM8SOzmWAb
dDbWz7LY+Avcroxt9jL5VNFB/V54xrecQKxU8n1K2c5livEayOziWVTnNpYWV+i/0p4kSoTvSNOa
x2lIQWHCA1RA5y594GOvhCfJK8OoKubHiDam6u42cjiLnJ9qy/2ws/G16ZOecgtsBZq6EXe/xyG1
dxLFvf+L9G5WG7Fo8ULsXRnf3Nl9MtL2XMbBU46W36vu0NqQX8wJ7E1ZBLSjxHphckkMkSNb7D1p
XvJBfLUMGZ4lq4cAfnnttavKn+yDvuH/Cj2GvCvHCwjqM3jok+jDtxgE8SWa3jnM8fye+Mz87Ibb
p2JeomZ+IZsJimBcFyx7Lnq2LLjql8EIJhAY7M2egpHp3s7PhwovjP8+ZdFdpPgZiMHloaABb5v0
7kGyjLKcnsb5HfTpbh7GX3lJVlq13Xe7jJnshImH7B1IQixVGOulqwkTZlSFn5/xD6H629tkoCcq
W/FS6ApATS3PBrMyN9ff/FGhXtQKQ7FTEOzmDI+9ekveHUxAbB11hw1ZQRYXobTK7xn07MqDCUKf
YR1RB4sTO01+9V12CyrdAKWnX2v4Jiyx7faTVWG2SJNt7g/7eZIfPbUCtyDmoFwgerF3uKkFt60R
PFiDttPngJGKzSROYdFh6cHWj9NuK5TzKHsWW7PfalOx/HAu2cVopTd/Lm0KpuQT3tzFwYkbRobT
blpCmeeiriLmQHMTOv6UhJ6vbWLDu+k9zspk7LdA257c1DrWmf6KCxoeA2sKi6B9yiL/aLr46zJk
tx68h+tg5SYo6W4aDVPx3BDbMnzrJq0O9AoSaWV/ZmxsB2f/W/MwfEExkDs3H1+n2PyO7exRtpnN
zgHs5F4wnVSZXUpzfrHgJLCbYroOMmPHcpMffRBG7CUx7vNkvgKHmtetZIiV9ezXkzUjTj+6Fxb7
3Jz0C7+WhVpa/mxb+9lyyaay1AavAJkTwgD1pbY6Toss/Uw0J9mYesWApx220CS/8bSc5TL78zxC
ovocJtoYAsD9IVSZhm6Ei4meeOvp6ftMG7UqpuS5jpJHIGs0qnn8YxbyFBl5mGW8Og1ry12Qq479
oPrqsRGALITjrEuTFUeepCSCMd9hDcyea78J2LKlV08oMt2LabTRqfNt99j2Ni9x0Z1YgNKyzUI+
lTEWOgPpySOWwG8w7YpRZS/SmIdz3Bo/nCZg9YvMAHzlQU2TIBEztDEw1oFwHhzy4Q/suCeVP2XJ
Ti/xmrHPxMrPWll/Vmn0hWceWQt9D/NucleaE8OR6MBpTDAk+wCkFQNFVjSURFWfMCVFxypvjK//
Td6ZJElupdt5K9wAaMAFcAFMvffw6PuICSyaTPTNBXDRrUJmWoGk2Ztr8qaljWgn+kBWVib5ijTj
UFWTKpox6enh4Rf3b875jtPr+qwbWzBglTYv8bb1h6hs67UFaqUuyNThkqDjk5dOXZuL7G6dQq71
ov6t6MRrlBpfrIVcVDMlynEl00KDvS0xF9CgCBQStZan3sq/Zm2brEcTvv4wyhsEllyXC0u3xSZP
ucc1aLGVhbcLP/qGdD6ChBN5QZ1Aft0vcN4F09sswF4+RVgJTcROe8H5KrO4GrsuxjYC6neJuogW
+G+9YIBrAi1Ww4IGTopEHKFY8wFaEXq2BSHsLgEkMGV3fmYigddnsHvBKiIYZnV6KmPxCHUWspQw
urMURrGGVRw7w7n5C7wY004mJ4CVPg5hE8LxOJlHAfEYzuMmd7Z9ahzzhYYsFPyfhY/sljzlASYH
3NntQlDWpr2JQSqzp3iKQSyPFTFdutuLoXk3WgehKYTU3AMhg0i0xL3kM+ofbbbkRGxClwMRxqE4
lSZlbuVMjy4a7lr5ZH8FPLAax32JQuthsIN3Fzx0CSZ6kIBSrR7pP5k+VB12dQWx5Uh82WXdDTdB
278M9D1FkW4iHyCuR4DrDJbaCpNTOIg34iuuswhuNVOHqxESliwIQIT5c+gL89ZeWNem67PwqPtb
xycfCisaiGx35RuVvUAMnB2bmR2ulMeiRtfhLDztjtgD9sUwtsOFtk1KxYNY+NsT+wmzRm7I+eHr
UOTVhj6z3JokGWULwVtpucGHzphooXt3WXukpotB54AaqxcGeA0MnKy4hxY4eBca3VqDC4dg/tgN
eMbAiKfkuU4TXHFp+s/eQhqHdAfmY6GPw5DiW6R2gtEgNCPvFnfX3tXTolx3rztQKQvJnBb0rBxQ
zNUL5TwZHpOFei5+AaAnfJe3RsMT55fq+S+lG/z/ppr7R7m/LAr/pFWoflrHyU8XTP9+QiU+/dOO
YXmJbx2DR8fAnpFq3GOtadKHfIsuQFLH3jHwTF/QAvwgnMPTicPawfHuw6eyfYeX+7YENX+2Payj
qOdQEtE+en+lY/CXHeevpvslZwHrtC1RevC32zip6dh/Z6QOfFVlaMOZ4nsMGsCot4216eJ8fFdM
XO7AQDFG7B3V3TXeaH/MsnYOAb6GVU8xRUKoG7HXyODjsNnhFJV7kIbaWtcT1KaSdgS0L3brL/Mg
jIH1QTVcFmXA2JSasJc4L3iYrM2ouCVUqnjpsRls0UZgolYuPqE1y8PZuHYdp0QG4zbDQ6HT5MUv
tP+YgFkrNzwswlsBixzcipubx8QPBZP7aPy0x9QyVvgKkw/FVvKkpOivvcpWD5IkYUCQZVCD7nci
noGx0VybkQzFKjfb8GnopPtEH41M2rSMMt2rUUQlwjhr/EgNIgAZS3aAFAqyDqx9map8y8QQvckS
ve6oJM13/iztAgSWSa0Pbrn6tGCsrJtk0OgpukJty0rJz86CNrg2rBn2Az8DKXpkc3ItlyXYXg1F
563sMcgiR5qsGyOsMUuS44WRvf/F1K5HL7XpBiSxaSSzXFc4ND08o6cfvt5/N9//SGD4fU/5y1cE
+Q/iShnQvf4uCaX0Gp3FSewdhqYyd9Bq5KZJpo9//QfGrxpZnxHAHz8t/s9/+2Wy8J//u4x+fFB8
/0+/PSX8n20bqTusBR4Jjsk5/faU8H5G7EBLD8D779En35QS8mchlgeIz7N/ofDym/v2lECTu/AW
2L3ZNgMBYf+Vp4S3/Ip/fEpgLmdugVxjmVP4/vLufhwreA1orYj08iPGkuZrGJcCnaXjDpcjQiT2
xbH30Uui6VZ6sgNWakEJNqX2MR1UJXKF0L3OAKxwcU7j+IH7dCYLbnTPA1GzFJwQZUGKHxczd1Nd
wOdjfWZYKMs3ZFLPb52fmtfU2PkrLQp5XZMmKGBqqcFERY8NF4nGLzQhU6UjAjIEfdGlMhCk98gd
5HZkA9aCHW0cusIGoQJ82A0xtyui4KdXYwhJ3wuI/dtAVlC03oNH3JVi5+bh30flZs2LdwGrLvJ6
YcQ3Qzm2hAAYTnDhObpGZst8zu3gpAGAm8RNAEjzZiLFc60dbZ35ZIycS7InT21cK3NN385kcXLJ
uVj6/fRKon8c6fgjep+lBNFEvmEsjUK0nz988/7JQf4v0J3ltwgTGViA5wsE27/9LYrEm4VRTi4J
HRgFYebodTqR4UQbnWz+XY5z8KfHGdX8//j46Tz523/oP1NA8RrfzjWwFGjXtuv4SJ04o9/PNfNC
Gz8PzVYgfmUt/f1cBz9LEo2WQCGeBwGn7rsEKvjZZOjIv6Is8FwkVX/p9nd5X78513wLQDyY8Bt4
Z7y932GY/NlmyNAU+mAFCoF5kRvu3eAUjtjmphuDEFDBeIdpDc2dbr3aJLSC1KBNJcmN1sGA2sLt
UwxvvUBtggArRdPcioY0gAaIxMpo0Z0K4kgfUazTQLVO3t8rVAs26tqqJQhwjkjiVuTC8ujwnORQ
5TmC7lGzFF7hLVfGBmspF17o++h3Jmd4wQRO0LA3o+DxrTaf0T1Lw97qMGRDqPoGtKQaZD5vQnCd
HzG9AwFCAEJ3jPopjJEtzwnOE8+/UPiqkn1pAarbmzS34zqKwwmupesn3s5xtYsqICEn0CkVFtTK
iyx85kTEg633/Oew9bIOWH/qnKSVB+k6y4lD/nc5Rs6f04j09Lf/KH+60awX/+QcLS/y/Ry5XGam
43GQYF/+cD8SAOb4aAh94rckrLPvc3cBzgzGGatzKmn+/3sVzUh+Ef5xuizLFphT/hJuHnDv7w4S
R9I1OZBYUBY1o/m7g1THAwfNjPKzuBgNvhQl4PFKG9uxt6/HsXtupvFjCqZ3oiG+zlIfoFckRFI3
2CAt9N62nxBqGPWvdWp/0aM4ATS+ofHULDWhCQbOm8uNdYeRBhpCW3QbbyJNnNkiY/JirK9RD7o1
ruUsKZx1W/rvOmdcGQyZQizgWWuTaKV1qRhczybyuohUxE1RVNdKeF+JmPlkrQwCvqrl1kLp604F
rM9Fza7S2jxox94XTndVLGGeLdq2eUDC1YfqCEperCTzGVgjDOU7r7+aQ59CUfbjVmAkOUS9MQHj
9j8ityj3pF89icld542PO4D5N5to2CVZpj8JR022Ljf9uulhoMaGRlJeD+Nem9Z4YugTrsi3BoQ2
ibcqjHD6OvaV6BAE82QhAQRdAMplNa2h2mCjy8CBG2NzGmN5bWun2RmW86LKLNllTnAbesElz5Lk
qMoILbC0L5Og3Oogu5hJMlsHJUt+GQX8g7hksbYBrtiv2zTDnkrXs8qdiYdWUl2CW7gJm8K4yhe0
W5r075Ourue2vWPJiEs8gFcxiPsOaHRFCCN7j3kXRNPXmIy0FjnKHPvICqqruArO+gLhtKX5XNlj
tiIgIBjnTRbfpSlMe9yH1tnUpSjY24bRb1+d7BqKhzQ8NAmdt0lFF6z6DHlD6YN6ngnHqdq30BXk
UJnktEReXhz8aeFgyOY4G+Dasdjg9A9L7PN6gnw83lQVT8jesiY6OugJrf21jVh9JmH0TLQsj+gK
/q83/fIbHN9mSWwIKrNmi4jW46mbRPdeWxpnbSjOnZ7I1Y58A8T785MrBQi/kZVQX5ICavBcF2X+
AMQGvHo5rXyzuRv6zgNnnJ+qKWLU7jLhS5rwfBLREw/dq6Y0Dn6e3TRMCJuOtDl3vMAbRUR3I5/G
QC6+KguvTQsyO9KKQDlSLjHD2vU6Gmr+PFkjW0MRVgAE7GtRAL+W0mIQm0/n3FPq2EgPuSjahNsx
SnkDDMrg+WAIzaF0tFpLgBx4cJIhJebbucfdxMePJu/KGMz5ZC1pdXIadnh6GAKZCO1MlZu7OBys
DW3aphSmfqia+qrxVL2rqcQOQU22VZnEROQyON2JZrQIR7deM+W+eN6ktzj7kR6S4o5d6xjRd+Vx
uyNqjWSEghhndWs27osvk+u5dmmjE6zVfharbWwabCEwQxuDLze9D9KeEILuNiqda0OJkMUAcWNu
ZzxXTvk11uQi8QU7dwp10smEgcQP9k0o9crJiBqiermRRUYukjN+dMJ9AuQAramatl5QPAZZZuCQ
8KONdFvAMymHFIsVQAU3EYcS7wSLgBSxpW3ke1RT/kYOpF+kMSldkzF+SCOLbru6EbsZavBujuxz
7M+fxJeKjewZMU4MBJD8AACaCHXY92WOnq77Qrb5Xdom7drzGjT/VfNRVh2CwJTnT5wnH6K0Pr3Y
uh2G+Waa2nEbzcYRXGC2Kuz01RvKd00axTqZFldetUhNTRggUzs770LxOwubxauPYQjDWg3j2h15
vC4jghoDixFOe1taeOzw6q491RJNARcH7wvT7dBvy0NnmWQcFtOz40wM/xBu1e0X7bCJA/e4jNiz
mTioxtzJwEmOnosLvepyEn5K6AuIqdaBFAwFvGW/Et84zH+PwVA+jg5rfuUJbB0GdmwrAYo7AHrP
RfOqesXiYnKQnIfdKfZksfUVFt4mcRzM7s19XA1Iir3gKUY0uuKSw8hfKEzECIQNc8m2t5uvfcUJ
zRr7s650ugPZ3aPFoD9gaxrS9/OU6eYx2EURT2TpNt1Zb+aMa2J9GZvMJa0ew328OA/9HHweEa/G
VnmesSttVEsWg5p1Exfntg+TIIT7tapbdW4ELe/QibCpldOjp4ARRblzYZrqvVJus7G4eVYAMuHf
sFwms1uSBGG+zUShsJtG5S3S8tMe5otRJR/MJyKm3dgIi0vfSwKg9c59VthfptD/zFRwq5Q4Vo55
ZUhVbj1N44dyO0hQiKgIdAp1cJmYb03aXzFM4pgMVYN/LQx2snWOBEQD2mpz3rjkf/J4PIrZ+LAp
4wmDbO8Mo78zVBFcNeBX2LQbzMJccSvgSJR9exa1LITmqnuLdfqa9P6j4u/aUFo+8Oe/4Liz1y5s
a4gzqlmjvbcIiYyOuMIJ2SJWBgM2vzhv8tbNElvBhwDKOarck9XNAqU3eR8FUeskUmJSc2bjjcji
AJ22tzWd8ZXi6sqe52s1+aCkWzwL2Ww6FOhaM+is74D42DsAiM1KKWIe3IQ7rOORQ/081gukY4Ko
Ub7HaV6QMmhBh3aj20YU5/4CvbDC4NQVyYuty5m49gwcif8ocralcx/fYxNgAI0WcRMk3Rvc1Wkx
cHvPJVRULsk8XTsLd7jTzMrN2otQgCLJaVgSBBXeW07JZpis88DmxOti8vdhJrtdJIMdjDBkqDp9
joaOo6ieKK3O4B8gFLZj9hDhF3/2iNio0jOwRR+O9tm/iJp465kJHLtCclVYskufrSeLuIPREDsy
JU9WSYxaU+EdUKLp8TzKPSrliW2OfeMvvxk5z19FrsYdgJ5HOybKTOfY0RDwIUaeuMEc0sxtbFd8
Hh3ckZVV1ldjm7wMRikJMyuRdTkDl5i28EFilpxSY7FgUihEhuORLVLn2zwC86RSu13bxHHxk9/B
0SOQIqzPkzbdKnNEJ0zy9QxKazWoYrpI89w/C7r6wSU9ejPhQWR3NhEJWuLWc9ltjjOEvjKE2oqn
H9S4TIZjN8X9ymrDFTeDv0cC16wma76IS6KBDL/baABUsRPfdQXeQCMqPnMKj7w0jpnPttvwUFtp
NHirmcNG5gUZkbUsPjCe3tcevKkozuT236U1+nMl0v3f/uf00+WyXPjjYOTlFb71RfiocN976Iso
opj4fJsaMndgKMiIivIVORL90repofUz0x9sDLYFNJb9Ai/2bWpoYspf/hXKJnMx8/+lrgjB4++6
Il4E/79vORZ7amlav5scu5aYyY2c3YM7sex1NAHmdgdsI4kVMEhcnydtzsOp7rtk68XmjRc4+8my
+10fk+3tFGz9dQSKdWyjKzD1zZGN4IE8RptJm1mhEGJ5EBrG2eD0+8xHObhM6V3j0cLHSm6Nva/s
kfVEGPCtL3SPh7zE+xBQCRAhg0Pe8g/h+C778mz2kmLTuB8da3QqBfySDZD9fMCgmvkUgnbDalmm
CpE7KsuQksHGiCG6ZDfb1LEzAUUm7qshxiw8TCnKn3wTex0LDvaCs+bnaltQaZH52TXNmXZBODZM
QFainqCmjGW28ubiCUn2hrOnEYdX2bYt+OsI2T2rY+rzIWu5+fpoz2rUgjtkUNh7/G1aoVD3nJDQ
oumTwdFdWsKGntvsg94mJxGMPMPWQf0rKjKZ7JI8zTbJLn2rY5kgUrkN/KncJq5xrMuCGK2Wo5+5
RrEumpbQ9/ZkCg1sKbmzR3mRuT2YpMorz1RpXjdhdWC3cg2Q8Ir5KKlZ5ReJyWpldUQluforQF6Q
S6Y8aY08Fq7fUdrzC5E89FAtD3PHHx7nWJAeU1K/pp2+LuuW3DGXXsMjZ2w1gPSwgsnHx95iiE2x
gKnGbsirhaHEBxckxLQRw8CqCcm/MXjBzkhyc6OA+T0h+i9PpfDnW4c1FlIihLy23RP0aCLuDYc4
2jQjlRQmr1cojPiAyiFb5YsseMrTu6oRDzNSbrkIh/sGv3KKlpg8C+oE9KhojH0Z3cBDbjdI1/21
aIEwLYLkMTXuoghVRNXvXBTLGcrlGQVzknZn8SJprtA2+y4iZzpTXKsIm1A/88XDLLYIor02BvyD
RFpofCVopiVi0hYNdSyrZxNNdZM2cNIZ3yISIIpbKYyEogvFZpzHdJfFnftgqGY6ixKG0EjTR+RI
wYvUBM9mbO68MmywB5Q9GD/7ZjbIp7H6Tm+cjJXyoDWxSz46NBl9dTr/emz9x2KSWOgtsj3R7HcW
p2keuvyQAQna2LJXW4b94zb1omA/FP5dYlGkjl32PvvoI0r/UpONB7DOp3yw0eeWebZFGJHfDpU1
4WfjRqPdadBepD6KXLtc5bX3bPtRviJuGHhGd51NATFRdRQcY+XfNwxJ6dBMDL6DwKPWj3I6qyh4
V0YqUeRFOboDfvp91AXnnVsjlffRgw+a8LYUpR0WnOrTHQVZFH5+H0+sGRnTO/vY7qe3oujMeW04
7in1e6YoecDQpaGGs3RwLNzyXEBL2oIrqwGCss6z0uk4D+H7oHtq43C+E6ojbVi/MSNswac2r2M+
rulQjxjWNnVS7to8fErRS0Elwgo3z3jJSTenA5/OMtv6MqATPkbTSyheE1seRJ4iL/Zs/rrBOHaK
8xU0WLVn96UN+yOCxWFDNb6fVMMR6e0TFIMTzxZEbbO+hZB1HgPI3tV+dETTY67CKb0PI/FMS+tw
kHrwRGV/a5v1pTnwnIkdb5sT47x1XOWuWFGfBYCx5IDrKgyKI5ykgy9Rq3tYERkOnI9BeQ+0gmja
dL5EGnmm8vEu5KhgPgvu3JQsUxncaDMA4QnXLglChSql1Uy/qFHDSj45rXEnFVAytqW0uylezzQL
Eo4ajLJO6i20EKbBo/FgaPlVqArOlQ2dSM0oKspoQm7DTx6RSTa55kPRQuZtS0oq5jHYoJjfwsMr
EKkgx2F83ZJk0pD2EdFoDR6GRJuvBkZQ5EdUR+dlEWDAmLLhc4aPmaRIrUhxmV6RibBqtRpxE+Md
2YvG6z9M4qAhB1eYNf0G+ssU9AUIFMBaHnuv1dxIC73WVF+F3QjCYUy/ZqV3aSXtdF1rbEBhSzQ2
2loCa7qBCXNgldBKmjKfQepZrX/qbGRjDEH2LnqwBYS2q+z6NS6K23Dm6KUdQvnSZ/CANWQir3k+
2UH59u9SZy01zx8vZi/fip/+LFPj1w3t8hrfKy20OdRYLMItFrQsZb7XWoGgwiFm9dts+u+1ljCp
ztiZmyZLIEbEjIW/lVoB0CSmkuayWHf5l3+p1Fre1m8WOdJheYxuCTG5FAy9fyfjMMyu7rzOj84i
B73nGgDlL7FJ8PvMNIkg/hoCa8yQ1WsNrhXhhsEketrGXk5gUQ1C+DUw4qssz/tPcpbQrJlKqjOZ
2i6xZApO28a3m0Oh80atIbRZT87AM3+b11klibTjulk5fV6HgGos3BApXf3SlZsMQUceKj2wwICe
1VJcfGMwrFRjQixJGsRLFT7uh1qDjFwFRiBOi71220KjexamCCMmm01nb5LeCQ+x27pfPVd4N2pS
Rr/Dp0/25ugX65gtGrprXYz3UT4C7h7xRYPir9EA17b0n9NSwCgl9BWLr2M0H6kj+2TbsGSu8Ccb
nUAqMuElq2SaSKom0T/YQ6JeqjlP2Ishc9mNdcsTk0DK/Olf/4j9QywlaR/++JTd6P/7n/+LHc8f
NjS/eZ1vJ83/mV2KzXbTtRfNA6fm20mj20FItaxAWfewvflHV8NCR9LoBGxg3OVP/NZjwQab48nW
FHYEh/evaCGEWHY5P4ohsHa4y+bIwQ4nhG3/7qyNnkO0HYhPKg6XbUAaZnx78qBTx9bEfhtEDVAS
gXMOzrINHSh0iyvHr8MXqy3Kr3XtQckem264yINiEfwpOTWrgtl9BPgot5/TbqQu8AvTvp97eA+r
Diptt5auBv8kyEolmLyvzGBdFO7bGHUXfVBDlCSbGDHjhJszdvz42jUHWHpEOlAvZFURy5UmvPNM
LRRUbIjTU0Vg5RmXKNjExp+QMMtemPkBQt/IUKBKg3eb1PYvqpa8wsTM6hSaZk1WYDGbSJZViDFM
d22491EXU9TbZM9ZA+6NGmgjVSbVCl5SxL/wcEAYcJUXWUySXstalZGYBTLLSMEbjSpYPO25xZ0+
oPSC1+nV3g2qKPsta5zpvocwcl8G/Xw35o1EASrTl2hUYDky+BG9gaDey6z0Mg1CUifjU9bWZMRo
m4VsWIBpL+fyre6q+r2Ffbt3Bqc78Rzwsw1fo9BhqjyX/RZiF9wnS3ndg8lordp00XBmU+uuQ1BY
uUlcJNVq9NxKtSW9nWx5xz0YLVB2y5w/Z1s/doV3cnuJX60KkO8a/oURdXcGXwvRYbfLiMvjo4M6
4wEz66hrh0lPO03iFhaGxy5W6FME0bUZQ/F2bsTl2CARhI4VMKwR9hv+0X4zWTLZRRqVdUeQ+qlm
IUMNZzwUE5T+kTA52lu3vvcQba0bENL7Pi+tM4mW7GvK7mNDuAcZAxU9HhEtBSy1Xud3lTLg+Xp7
cJm4z6xbx5sxoYNB6bFwBxTUZd4/spsTOOMkOdjlyeliPDDTfAEDNr8w3LknNDdXH1Ek3W2ovB2c
KLXCUEtunCkvW1dcc6Cg68Nbj6AMs4PRrynq4EjO12mIqht78EwGbo3NsYdmwVfEmLnClKuY2KMe
Rpg/Y0a+rvHrvxU+rOAqjlHtmirov6YN+zlfmfjRsUmgA8g8KEWQBhraIeFj0yu9tC23A7gFsnf9
mTErCdr+W8hKo12DxhafEe+4O7fFlD72Rg4bjZ4x3cZM6QCPm0Kd+6FtkLWcQTQ4YijGBT9jD4Jw
1VvGO38WVY9p9TfulBuEDTLF49DEnb2FKFE8uCDlT3VLyL2yZ/92ItlJr0vdLAmU7DjGJsdZFIx2
ISA1BOmNAlYhNhorZEa2jAFFGbhwlq+zYKy+cCsuS8mpQ5iea8N6/je6jhZc0B9fR79CL0+IeMp/
Ol77x220vMy32wiVHfPlAIgRsfT80/fbyP2ZMBaLiwC+j+fZv1EeIPhFsveDaO/vhR8Xlc9oDY8e
paSzyOn+ym3kOr+X5sHX9NnAMRpjYeMEy733ozSPqjC0tJ9WZ0RVQI1PKlB8Tc32tvKLncqASWOq
Km6QQDiLs4+8e5i50HdcsW2Knu1EEcUXbCMckIZgZ4w+S/aOrCcSVeLqNNVles6CIOPpPV3GXK9k
92a3FWSzFQN6BMB+xnwum9xNVGqWBKhmd6VBs117S3y6fuoH99LtPQbsUaCgS7dfMXup7dKxipqo
EDQ30PFkkjypdnRxlgz9hU7Svdej5WOODuQSB2+kJKEToXnb9kWyggxAq59Pd3gLCRYEMrRmx1UB
7DfPHfN1GIZ4W9tcbMrpjUMxoC5iM/FQj0rCKjLmbZLnN5bPuNsakweYcYwrYrYJLQ4YwxLZCqHH
Zz8kT10Sil1nB+c98uAdGTbsVi1AjgwjwaJTZnpOezUk1g3aiDe4HAd3WJY3BTQDsnKRO6bcyWyY
WXrgOQwQH3qA2I5Yh5INbpU3bZTlYZ6DVxz//YZtk9x4GdWsYIffiZodTiZ3dMwVkbzY01PZnJyC
1YWl2oTtovcS9REmA28sj6Iu4RuI7j6OBcG52dsY2I+GbsvXoC3fItXdxtFI8mJYoP9LW9RTNfCH
ymWzBoor2fAnc6KOc57NZn4RD8FLYIdHp27fCSuqUHsaZ364HRjm2ykOLUKKyG117zon1pvJK74w
EMvwmrOkThPnRWeIQmQ+vUlWqSoG3ROhVkDE+QQ8ul+VrGiMTL1gEqGrTuvLpuhQb6XJRyDCr1Hk
JDS3yQ1mF0aWLjc/Vrz7yYsxM/jCYdfqy3UcN9bJKIoXsBjg7oaFo9SjkEbvxtCRpLs1pWCJDSu3
t1OGGo0VfrIJ8vqZ4u66t2dALp75jCY0hu4e2PyeyTweLExNzsBlQe7c8xyI9KKN/c+8jfOd3elH
7OzvpoFCVJrDY8cuOiaKbx3O4tqdjdfOr754CdERWYRMTsGT3jEgf65EN50noX3y88UMS9YnFMvq
KZ2w/jN4foLeM64Ro+Vrn7kCfDzeG70Gl2+hbvCxwPtnq29Vi2moRjJblWO5d+romnp4Q5birRlH
e4OqhROA33MAvZ3qA1cFEtOePeEvyh9PhvsqX0ZbA6UPX/fUSe2Tow9aHtKivHNa/6pzE3hHPSAs
iT6JQJVNapfXElHRGDbYHuvosbObTenOj3x1eVCE7QftV84OOr2Q5vSgkaLAuRpAfIE/mdJnckQZ
wFvEDuN0enEN02aKA3YozQUL7TAEDkipggr3WOTTha2JOdf9EOyqOSu2sjXuk4TQjxwWkXbY8EXu
Jg30rV2n72Ha7KwQQFDZ0uEmXgiXNMzuzLG8rMwOd1pubUrbwWGYV+4Wxd6l0XF1pwYnhriNbT0G
h9qfGfa2sK41uWz1Yham8b8bbTNdJ3G1nwYPdiBER4rUs8KGGe+pizBwkAkb1tYE/ENYS3Ke2vGl
gVuINVlPg4tMZGw7RpOBsQdjH6yR86zmjq8g1MscwaL9whtAcVChOCkb4FcluhBA4PqBjpuvMhaM
eRGPyEVG0i+CEtWRAd+LYRUuYhN3kZ1kiwAF++K9n7B9G6L4kNG0g3tErtI00RNlM7uIRcrSN7rm
udKXL7INAIHqAUHyMG+KDIraiBqmGfhMkkUgU01ZjG0L0Uy+yGccxMxnUWfGJ9HiyJwWmU1s2E9t
BQ28JfuWJap9W8rgYCLRmRqIqbN/PgwUM+Wi4rEWOQ/r3FU71HfDovSp6+CGpuihbXK+ZYsaKNat
2OSJ+cVdhEIL/zyisFk3iIjkoiaSuTDuJpYOq3bRGk2L6sh19Fvvde66XxRJcTyUKzWGT2xSvY1E
tsS4eKcXHVOlAFgiM7nJWsYQFWKnroCra8wp04dWHcngILZyloznPPOqHfgYFrVUsOimhNRIDKaz
aVFUzXl3nSwaq3RRW7lsP0EiEe68KLHIlPkyjQZv0G8tUq7QawWRceuVxfmycp99Js6GqTGQuc/R
IvUKiyuinl+TIdymAl0RcjAfWRjsrV3kRdWm1/6uJnO5zc0Xd0oRyiApG5GWJUjMskVrFiyqM7My
rmtkaHHCVWlretFm0ajpRa1WZqOxnRY1G9+Vixh5Wy7cy3rRu42L8g3y/mWKFK5eNHGh5bxUdZit
9cxWpWu5usqsOXYz3sTMjRwwJpNcZZ1/oxklnzjn5D+XO1cySI01+xIRI+7oC3lwmd6wBjcvogn3
OCTOvd83u4HZNF90esym9t5E5uwqEyKWioeT55JzLo3pA/fJTdvbT46VkNauMbSrsu52eZDrtSq6
F9HxpcFWtK09jp/hG/GaIIxbvGvnDJHtLTjBoqyGVdLmkA1K9ypLLK6pGcqvTraBmk6xORbHOVYI
Eq2JdCSccNQR2OkD6CR91Z2RRe5uKqIg14WWIKWJPGL7Y8bbAvOyM6Ih41ZfzTOsf1kwXTIdaRxh
ZV3FY/TqZLDvRuXQGgr2nHTy6dYjSg/THwnJ//oV+q/zVJ9hyh+X58s89r8v06K35J+W599f41tt
7v3sUnkjr7dx19mLAeb7pMhzcax4TGVtkBOspr/vv6HRL/a5xYaLTJT/6NtQ1uTlsNUFtgAcyer8
L02K/P8ylfXho7lMfwlndHyLrftva/MhCbo0DlrvUGSTg2s0mHkw8EBCV3puGx3Ksbo9ZJ15Z2q0
fKI/gc4pd0yxUJtiniOZy7zDG7Q2CFQhnuiFOt8C++uS4BkiN8oLqLmxrQlXU9R+CvSb7zkb2Mfj
BqzfoU1TZxtCN1x19gLLjkFbed1F530O+PHWyKlxy+Q73NpORQJfd0UHhKWedbLxhgm93TZKn3Ug
KPbkMDB0CqxTZ/iP/VSynoquPXO4saaaEEM35G+1H21nWkehcWrdeVU671isdwVm8TGaWWqMe3J0
AKL3hwpScEiltGJQy55NHEL1ldMN+mo8a6jYJCkbyr5auGdz45M12PJzYUCwL3Iv35l+sq0CofdD
pPJdg/BnHZYZ6SSgDC1xhuHylKTztvVrUsyjUJNWoi5NQ2BgQPwrx50rLsa5VIAQ4eW5QfLIY/0Z
c7zcSBKo0rJal87BSz+BhqyMRJ3pxqWolBkOAINPyjuE6C42RiSw0DAmUDWAwMcl/dWUH3z8D8bQ
IAkzmRf12d7WaKoTN38M56xd13nzXmPBh6SJqNOErUWI3SntnX6TYS7fZ2E6vtSWSY4PrFaEb1NV
bKqEi6A/dw2um9FPniToILACwFPdo66TTaaeOvvddon+Gn08wcBcQ4gWTUtArN6Jnp80q69zKjBH
WOnK9wE/iss8Mm/nMnmblQKTN75i9N45Di9lgI0EYYR/ncQyxq3XpgdDTCwRASl8DOGtZXmcrDPC
9ghEcdHsJWV6aLnNPFjjY3ejPBhJhVFfWnV1E8NaZB9rzscey9amjDFPopTMr6ylkVvDcNxp0/jy
/8g7kxxJkjQ7X6XBNTUhoqJjA9zYbObm8xwbhY86z7NegCsCvAgvwF6S4D36JvwkksmMKrCKqG33
KlEZGV7ubqoi//De9/CcW9vMLwG2y5OGM53M1mRhu5T9C2C985iQIj/Dkf6oB7IhYyGbVx+Z+NiW
Lxk0YT76B51gCTcFND8+7ZU7MedqNga4tGeAcgE0X+T0+xyymrP3UWUJ2pAkuAcxkbin6gbgRQPa
O/mOGZD16XBZq3ZFfJ1DCol4RETX2LSdVwLypgekWq7cYG9O9/PNYnibokLxgeNsbRlIqzemQ7oT
l8PWlPUn9+OkOyHIBLU8iFI1a2+GlqYtq4BG9h5wWIR8/WPCA+J0vGdL0WxKQLTU8l91ax77ZmBc
V4rPwR4fZEqiivQSsL4F4IoRfn5JvWHDjUzy7tHoxLCKUgn7C1HBijcBbUccHCuG6SttSPfIWZCJ
/YBydka/6TwYQUDb0Jgvpe/t3OBH33wwBQ56/4aqm9mctLaphAHkIlkJk/rQz3v28Bei+Z4jYBnS
eOt4uRKV75suuW67hmoAqMlo9BcsLi0kEnMCeDsV2yCSxx61X+K7n+0gv9C4oCyYiOzjeSEY0V6o
HJsLX8YPXMlXbh4dEmv6yvsOLZ696kG6Owu/6GKJSBprSWkuzjLK38Nx+TJkem0KeGVUhYdZr6Bi
Aa58AS9y6nW4ZCpWhRseuvFBNfH1ONsEU2WQHijLgoRlLcJcI80PYQaXI5uDYzr3PIzkqLUBrISY
WrZM3EtTgE31rS5kw6ZjG0YkfmnhnbBkxACSEPZWBVPLGGBQaOJKzFEKiDQ7FLUJgNAhfyDdp136
mOcnMR4LZE1RwbllvfrFQQoIMuPRkc4TgoWa4UTu7KbsJQse0T2cwyjcNrRJ1uI+yjBsiUXqPibY
r6X2bowUw4gNvY82AKY+X9vqqWlPWQNXfueq9BjG9+OkdgmAztEPHxLfQYZSXllcICNfAvlClTGJ
NVsNWZqIAAhT7iCL/qTXsUQA97EKkFQ06ciiSIcXuTawGhv/Na1cc80DfA7ROabchmtD/CgSrOOX
FmFItbiYsnGVdLcRNfWoA5MskpP4TQTbiSwlxvcwDwhhqHXMUmTF7bkneWlecoB6ZDENSfjc4hjg
Gnk1Z377prhA8vPJJJSIktL9DAbelUE7J22insK6fiCKProOdSJrQq92rHQyVDoiTnZ1WpSIyMfQ
+VGlTpJSOlOqcUmXGoiZimJsARnBU+0k95NOorLSjDQRnU7lO+RU8ewCZUIrm9cpCxjPuLZlQyDT
1Pp4RplWgFth4wMiC4UIOVgGgVijgXxcJ2TxV7Y+kVlAF5xNNHEcSlLL6N8pZQnYmkz2OzDzoOm4
2cXczGqT6zwuw0ne/TB9Mu3g1c9NuHaOgNmhU7yUzvOC6FiCT27j6tBIs0iOQWH9mAOWFL3Db8Uk
+GTUrFxPg6ydaq/XQFGc7xWgayb06wLwNWkFG8cQJ+aP2xrmZqMJ2aRrfNR2iOpXJO+GxUkITJtz
UTJ1bw5+EZw7Eg+bJHgfwG/bhXrFq7yHVHTm95Ex65OE61rXJaotUsJORVae2K+cHKvaFwC+IdRt
HcxUq37iowEB7hnBDXqUTTHmxxhEuKWI8HGBhkc6IQyI+OI7CZdCxJjT3ChVXpJwemCF8ViPsMf5
QyjkmkeeZ8ErUZK3ClC57WY/8rA6dzlUMk/cRADN+8XapQDOY0Dndc0zBfi8hXxIo1usAAkiTV+m
K2Pu1qNlX3EobZHu3iog6viQ9i5QdcA12AoVynBsALvc9bYlAPZOmpeEfq1NwOxDpi7hMF3lFac+
4PZQdZeLLCfurHbb2d6rAeI9B/Xu5uRK0Gr2mLhCv7hanBh7s92sw3I5zVbzUAONV9J87IDIN2Z5
Y7k2tE/noc+M596ZjjJxj1FZX5dFeO3K6ojmfUt3TfUCpt4CV5/b1hEnJhiDaBfOw56PlNwurrtw
uDHB3Xd67AH+3gu8K7RpPSsodwebYGdCPBUaLFgUyWcEpapdPIZv1lMUAvCJU/ht/Udf8WTw/u09
p9m30n9Mve6EQmvrte7F4HByB0V+UzvLrm2d21KZNxBaf3Dw75oeLvuYfGLceyCc9TSkDK6s8Cpl
EhkF2WXXGV8E/10vmu/TYjNSNF2O2b8uI+/P7H+RjgJEqpIXZBJeCvjRXHF2sU7G8jIPk9so5Qg2
3OZiaJ0HhFOExwqNpvQnWPGDxebGf4wr9dj1bgvgzXgFfbUHUQkhr2RAlIOp27Q005vGCB45+Ah2
QdbXWeJ7SCb+b8xkupvJfIzqKeZ64D4WFE0gLeE7jXaSbIeoZb+bGcbeK4kltrKZXrfp76twsHbo
Zhd0nHWz84tKbAkbIn4EEvy+6sV41RTMoifU9/hMDHMbTnmAJSUpn1w7e0bzaVzW0mAsW8j+nPk2
XbsWOSW5022zxI65jKtHqECkIzfEDuT5tm0VSMrAbE5+MrwYsOmffzr3epDRqwxtVFuIayJSj5Vg
To87gGTDXnHs5oO17hkgJdCwMqe7cIcA8w3llVWEr0bG6KURcC8go8s1DpST47LEhK8eb2pWA51Z
vMc+RzFb4XiDMuOmSu07j81oNfjEgoMHNlUYkO0Bzzxb0icWme4dEN7i2zG7HE08/b+w0YJOfuIj
q3O+1JLUJxeZFhDAm4U7eFU75UTAqrHPfD1wDUGIx+MWMUu04ye7S8En72tLPln+tx9MTxgyn2qE
ZRA9LGy7YXaeTAdHkepZauINfFbtR6psduq99LZZHzrfU+G6jF3TYGdpuHfah2CNcfcvqrE3gTGl
11NacC6W4muq8k9hmZvYkRg2Cou6y2TA2PVIXYyEnJtqbWkMqWOse6Kl2wERVzM1zD0VqP12ESSd
K8xRXoGLR2YR7P8Ev6OjYiaOQ/FjgJ9aQW6/yTgvgYc7xe+YgH/T7J7fJwNak/W3pws30f/47//0
EP3rv/yXvzNc0F/ij+EC6z3boW//qajihP1zuIDlWBI4h9LoJ9HnL2QoMEFty0e2Ap1H/gLuQQvG
vxUovphTuCa19T+y+GNbyPDgL2QoLP7ILBE+GQjgAFxtSf54u4uLsP1P/0H+x9pj9NfZNYSoKXst
4+XCtOS331Y/MgURaigOhu19Oyq8mazh1W9Cd0WswbYZYmMXLWTo2khCprE/9qWBpGEZHkt4M4Tj
3VRyeV7qvt6OGWKGgGDyrmSEldVBsO1mDCFW6F+3vQNBY+zzXbZw5nkpzERDTIpcRixoB1hhwwEH
tLgiMQMzfaKqUxPa8n30ZioBTXibf8Le+sTu9w1hxPftIhUaUa34KpM7BQCDipNmzDXDj7Ao32bF
i4p0DWhwMtV04l5urqU0y2tezusGeto6VhN4fc2mC39i6ixNrCv9+SVtgjs/7rvdMmO+ZCtHGVgJ
RPABgWae/5iEJnlkIXDAbrKdrySEXTm2w3zVwO49YtbsD1RPjCigrbPybMUxskKTrcxy7KeovS51
ugN9EHwApo7rIHWdY4NfSvtRI/fc9QUGyMQAj4LNJlqc4Zho602pTTjY75q1rY05pbbozNqss+Da
IaQ42ERm84gqzzuhOZ4vhTb5TNruEzvzbm6hNlbnGd1yzlEi7k0cQk2CVSjXpiFL24dwGruHBmDg
BupRvg20zUhqw1GG8wh367CetBlpxpVk4k6CH9cQ9S3WHR3ypA1MocLKNHVImfA2LWns0zLJJ3NM
pp3Tmd/+TyOUtG9NbY1iVIIAEF8TOSAQ17WBqpZPJOzgJNfWqlm1pIZitqJShw6RE2bi4SWjFTiQ
yvZcxdmbES3ZWtnBDzICmC/UQ019mu7r0D3hgtp37CzNvn3Mu+aOCfNKoYfclM0ImcJg5DI4bn5A
k4QXvC/qrbIJma7b6jpiSRM3y3eGH2+XdcaPpLPho5qPyMnwLdjFXexQz88dPrY0jj7Nqg33oCi+
J8N7z0rT2UGOvhxI98OY90P07puYx4+2dlPSmBXDMlySUTN6G44Etc09QV5qWMdHZcN3ccJ4A9yP
YC+dm5t1Auibc0Spy2inYhUP97REtLhvhnybhlq1OCJId/Pp2/Z4nic/ODc1lD/bYo+9mC3u4Twu
jsPiXKKjZi3ed9hdQGlcI9zUgPWbqbcOxOZk305YcBGZ7J19s1u2hvBNmPPw7hiTNJmf4v1jbWE2
/cm120dcf29MIW5gU9U85R77vZxNXOyfuoXNtJJUKFbOgj82oQeH7DnWAKO+m8Wu13EcfuYDiz0v
IwhQ5BO9Nff1ZNkGt5b8aGTuXRLNiBa1wIfRuFZ9gWyc3q8wPgZiOG+RSyfrXMTUDWF6HUaSXLrA
vVD28mnmaXAB8mMvw+qGBPI9m/qG9y3zdhBOiOgpUyr/MOTZwF7pzt2+bdSLSoPLKEvdtV8be9cU
0VGF6au34IwZ/XqNy7tGN7qcW9Q0gNfL8ujE7kmpKDwUg8ThnAEpmNVWuv0LmrBmgwl6P3qIjJKS
BszurI9CwcklS/KWwgPJm2h5ReQdflp66qIHwzj0q6rOWfdmzqea0ea7wUNF2MDK7+evYoxIgfGC
p7Rrv5dA2JuCxumc827ZCwFvdQ3fD7LgJpQNZOEBf4Np2igzZFCjr8MRMdasjDojvnXCJNsblThV
VnAiFptQ70Xj1R08KNbCHCsHrMzAwRB7ovJwE1kNwaeutWzIEb22Z7Vsk7G/dO0CSpur4gMUKMzk
Efgyv+vKTUGSFQJCm0S4hihv1BaYRrzqOeypVP69LDccruD/T/nxqrEnf9vYp7/CH9WHT/WBnoax
Ajoi/1cgmPcbaw1GyZZNeiR16J+rDQXwRO9CAAq62nrHtuWP1Yb5G0sIaCgEWsMT1IbAfyBv1/9r
vTnHmINuHWoQDkIKEO38+7X4aKuyzJe2OxrxQCccdw22i2wckuu4do1+26SD/2G3U9ivJ7fiYRmq
FtAlHm+c64UZ3rNbRNFjCMoSOc74O1JC2LDIzoX9YjBV5NVL9Dq26LUMRnrhcpsuLYEsEArzEQRh
kCDqGRTRWK6vnYGRb3OmYd17D5QpP+uw6z8IHbSPuTkqFDNSr+GcQnsQvY7dSkdLhYeoW8ChEkxz
8iox89bYrYcSii9BqvkUzwwhUhER2GK3IA+LkI1J5ofEYecyid5ChtqAxkdzeZuinO1HZ5mcE6ad
i2crqxFMekBPOWoK3ai2rpN8jY4dTnyfZjCs2iwv7xM1DmodhWwhWC2O4VU0jAowl8Mwgg3pQoXg
mOVUbCrsM0SUV/xaTrE7WjdOgWkJSaZF52QiplxWRuUO1sbuU/RIcqrPejHDx0LHcHSlKV6ZozB6
9vKWFIc0MpPHIpnaAQNcX6drZaYDahuEyttgcsVlH+R9u5VczIR+5GT5HpIizh44rwiFIv69WzAY
pY3cIkwWPzIMByHfRoo/0AtN5/eN58f0z+FXefN7Wfsrg/CvNddU0lJn/gH+YSEsNXPv1+fNqiSL
dkjrRzv37qykexxbK1i3xCfovBKQCN0yrP7tn0N/6BdN8Xf3rD/V+A8R2vz/9v8+jf7i6/x5IGmx
O7AkxWVJI/NnO+T9xofCn/hK/B924R+7VhOOKT4XqEiuYp36C4FJEopA1/aH/UXrKv+BA+lnt/Nr
N+SyynVdQS65kFyCLt/drw/IMoOwz6wgPw6T9sEtRLB+LoBfCJRNYi9cozRJ1Il4VzS8LFit93nB
sEMGlNLp8jBQK/5Dj9Ax0YpbxWSHDN2yVNACZegOqzxV/UM/mcLDxjzFlxkUX5+hhTO1eyb+gheT
RbO5bhBSXuhupSSAL9wMceM+icXxbmqzBBsyldEbaiUSs/EE1+E2Z5h2MJu5zXeeV9vfbI0GKIl+
RjXRRvMICpSjHubIklFx1PyjhBQP3aWiZDJXZY8EqK+E+R2D0HigSUR1HadOeT8Mi4+rrHWeZoSR
hwSQjL2q+sb6rsMwfXMwFtBZZRJXM7OdilxYU+T1vrUb+7GwTOBSMD9SCvV0VjCPhTEcTF47dFtO
lYDQLrCJ4j8AVLoZGa/DnkflY6ybqifNxTPr5d9NUYCG4O8UBff/CyXy+e3vlAT67//xBtqQhLnd
cQhIGv9fGWjqN/P3x56ZBO/ULwMJ8zdGDnBAQQVzYUv5Z0nAQIKsLyoM5hX4WKgz/pE3kMKEV+zX
V5D9B4Y2LG0Y0PjHXyuRsRBTJ9BiHNsIpn6esDSMBdlOSDG+u6YnFIvMjqVh74FZOzom03x22Mut
C5okO8pZxAWyJveov4QmxM1fQuLOxeMSltdts7wvtTwxr2AtVmNbWw24PA4ZuVR3yDzf/BJIYMRf
Xczhuk61JHMGXWT6w42dUMcD9ntJHR0YOTDnDxx8va7ffadRAIo0meK9DBIMzVlsrawmxX1OG73q
6/7Nn7uHcgRJ3leEtVct7UxSkwcdN+HFYNSgcgJee5LIWErgKkgBAKH4T859kV1WbXrhhHiO5QDH
bDReZB/tjDwjayXIkFp79jlo/IrvOz0ZaEK2xJqrVWak732wEANKoGwk0vwCgPdFP3iA33tyW02i
ptBnkrRiYVEJpTOtmVGTyZV2R7IDyBLTwSFTSNQS8+d4E9QUU1WA8G9OPQTWE4vGTPnzIca5gE9u
NJ6ajNTJgiJnlarofY7i4tFImpjlJ/ECK6sz5nUprGBnR0NH5OoMOr7KXn3hRfc9w64dPvN8XZfk
jSXdcAv83GXE1DCdrrEBR5m3bKRvtDu+8AeeiDv2c+TWEZ9FSEr3UJHFt2NodtnphisRy5WlW7AY
LUqnmzL4j+k2pk+bdcNW6tbNp4ejW35VyouO/Hz7WLd5gRmehta7hLO3GVzsvExCwvJrNsE3yeBo
aIEWSvpm3+vGkQkE5Sa9ZEUO4ZyiUi5uyHOlzxzNz5jGM9IdaEMras5FvBG6O00mEdwONKyJ7lxb
3cNK3c2SkPDl2dnn3LNOQ9MzXTYolDeLDVBhAJZUNAQxYs1ZFKsKf3gLVHkzZ13DRC7td3E2nhDm
X6bCyS9iaybgBF8B7AMEyoAIUAIjIx7Byqhsmda9sKz16En4YqpDZpucLBfdJmJNs3yNk+m5HTEU
W86EyHdBEoHgWV6zo0Z1ZA33ReRddSaxtHFfbJfJwejjgZQgVhFy1EiCVXBt5fy3tg0biS7euujz
kc9wDJfdUOjE84oYndmdkbEGtoVLzWNZWLHzGtkcoejJGUUl5j5YyKlQaZFfOjLJ7hIneoFh3SOz
RyiYLtG9L7KQClZB5otaZMbRBMCsDpqtUFAIesw85zTqTT5vTNwCTIAk8YeUV0g3dnUOVPAwmtUB
lifC5zJ759U2aMvzlyHj6DDryMfqlNTolGyg/j6RaeAM580UTpe044g2wP7kFlQIrN6cJWZ3GwyK
6PehpnwPamIqZ/tKjtGjlJ19mJb03ojEdV5nkJfaBtmTaC7AraV7GpjknHaMs5IFuzpwUuO+w+RQ
oTcM6uyqLdBZ5BEnj8PEcBNJPaUC2bQaRgImx4YhquPh5nLbZI0nPWc9PyJQTAimEGX3zSv2FRAf
ufNYO8Fhapi+Fgte72xO0Sn1Byecxo2dOj/ywQS+2tXu1vDS237JWcZ3KK38ykR23iEDyeJpJ4z4
VDFCIIehOQrDhfxV5q65YVOGmiSqvsXS0uNb4ws7X8WvIk5OlTu6uwm6wXU4E0tfVR0gpORc+unR
Jr4d0Wl3G5rmVxyZjy7s2E0qZbROW/XuV4j+uzKNj52VfkaNHd2rLM9OtvRwx0FqQ1EsSNcjfW4I
iEP0eSKhqufTsXfDr8qpbqCtX+BwefLm7ispUbIBnrgq1IhE08reM5eIigoT8tpelle3sqeVT5c3
VqQreAuJjDkijSoB7YVgotxPLZKljqRdI1c4uxTSE82csjET+AkCB/QjzaqtBXtAnFUj5sBVG3en
qWpmkpLGeN1WLWlELj/FWHbIobpiMybVrdGS1Da65kei5bNLjiSbVIvD0iJXCqz9IOKXFEo1gukm
wlbTflozinWDaLxNbsgMnVZBQgPptWtk0O+hXbH6mu6TaXkD9QXbpPcul1JACc0Tfx37uGcw/yE8
GfoXw1flPs991Bzx9NigyL72I8c54W77tnukDXMzIUutFm5HRepDRur3ZiyEezMl4wgojylk3XRs
nXN5SJKBx7QlLXcKA3fTj9xfUZ5cVFZmH2SBYm/KshdRFU9GY+UkPxvXTZt9GyURMEoCu1Q5I1lC
1ZNNshCYaObeGXf33onTaVMswZUz1GfBoAs7TwIWxzbPUaHQVYUqY4SQTrzBBf6SBW9ChdI2bztA
OzZiKyf03ihQL8rRqTbmkCwrMwzrnWsC0cZAAfPUbVBfud4d8kUyaDP7GKU91WpPTBfgGoiMTMmu
JlBiDj6+Q9DVH5YpynsIo2rn93I+SPIW3XEYVraMD2PkxE+TE10hEx0uRBHe54SAYRHP1QYT33iE
muycyiZ/dX0svEtigzObgtvGRHW4JKydK6h7yAeNk92R8KvsQ1Jb14QVXrRS3SJ+abbDpB5cZ3gR
s3Ob9gvhJ0G2DvF9KjO66obq0p+r5zbaQ+4DxhN5tzgwsdPH0ysyIPaBSfNQhPlFkUbQw3lpAT7e
NSBp1pUogo0IkhfTA4qzRNEdGnK8tURSLbDOB1GF65kx5rHwaZ9TmxOJx0Awdbd3COtJsK67kKRz
dhayNYm8TDGMTfA11o0xiW1qqPwUL8VFspTDqsbBuSlzwz1FrroaWPuiz8rFrTOiUqAT+Ma/+uZM
mDhJVSx2uW9dTpF/W7ltjz8m/8oseJG94kgj2axjTOM3JEAkjzIOUIsl5ldvNcT81qhZ/M7NIKP5
3CJJ9TzwOa69XnWMpD1j41g9xoXGfx1EgEmUQieqpc1BaquN1QXxITFL/zjzAT9KjzmH/nAnjl7E
ia27lSK78Qo0XHMY4tWWH2CuTchI/YtX+WrjNpLErGFmnZEHnAVJVpPwUEb7HHHEDk/UfHQzE8Nr
PP8wC16dYqi7feEjmavrMuT0K15H/EzZ4JjbSLGcKevpKu6NZ7Kg1XMbVBou2n4u7fjGosG7WBw8
eyv2e+ZWJcN7kssd+0iIUuysVHMlZwxCclyMVedCieQkLYDDgBCOoqjGhQBnJRkF022TOleUJVsh
39r2TlVpVSc1rc3kenmp0uiHvVRketXnxqBSVyN0/joimQ3lUzrCZ0Gl+SDLkRoleh7t6YuV1sHm
J3Irlm9FitvMM4ie8dpLWoLHuXR20PkJhx/O0lnUpg/NhTE/l20RzG9WONziY5vodZEsEhOEu6AZ
5KFyGoTJHKuVUueAg+Qsx+6c9Vz4VWzcmV3JPnF5YOAOCi+Tj1UxeZs5IEzYkzHnsB98ONrXXLrc
BFQ4ZATmruB7R++CzxGWsWBzA8NhHxNwdF3EsERBWTz6qXcRgTRaKbt+Ek2b35Cu2a0Cl3zhBSn1
wR4Ey7XJemYmpx08QbJvUAcdnM5+z8OW4ikZYVYaxkclGGzacdrf2g2YF798lKX6dGS3mSTPtomF
dzVm7mPaixlHek5xlbhfxdA85nrZErg5T0Dq9rust2nhe+qJevRJK7+Oo9e0nW8zQg0cFyWZhE2x
Kgw/2A3OAo8qxY69VMMPc5Tl2tCJBYEsolMHfXo/MQA9q5zykTw8RUXUGWtTypsJ+tYurBs+cRl4
6KfFeynIheJives54rw4e1Up8rUsJVHUrcpxOwrkZNBprIUgPRxM911mbTrXfSpDyuzFHEmSJPdR
FqF7LHSs1mDJz9JggqEUtiV7CO/bNBn3WrWclDE0m8YQa4HEY52PMD0Xcu+2CM7ujCi9jpZqXOWB
+ui8/HWy3JfFRp+ZjmLcNBYEzCElvTlvKJ68mCLCF/nlUsHiieAwrzg08mMSLA9NaWKPGalsh2Fd
Of7jgI5EM5KzFepj+8qpjWbbCvUaKjRj1dhdwj76ihhzrVSwGzWYvup+nluIE/kuaNjI1GSjdBBz
ewukYNqqdL40SyJja/appy5w3g00xFvLGMr9qJaUz8Krdm1jXOGuQZgfVcds6XF6MlLfutpejzm3
OwjyOYEXAcsHu7+REmA32V3NEvyovOFD9hhgi46rNaUuuYnbjnwK7swNuoUD3JNiTQ3/WZsxwu7o
ypvlgfU1ZrhqwstZSrpWtGCtMjvql+AFZzIyzLL+auqFPVlWPUUSMaBddkfTicQGreOHaSNnl3G8
a7uhP44NRK6pXpYdksQf2VDE7xXfqhU6jIDEfJyqgfep4/Ruy+ahmUc0NUt9h/8LlbTsYb3Zkg9P
ovQpFAcqxFo0VT7JxavaD7p9msE6xQT6Liq68SlXP0zAY1dz3zebScFFygR7U0/dxwCVDv0oj7PR
T3fW4rzR43+5WNBI1UBlm3TdQ2bRGdHXSr80Nv6Uf/TF/J0n+aWLCEIolLh+zjDQD68JBYI4MyOV
z0eOLH79INvJ0ySyeQ1h9UJ4FXU+EOWhSneMRO2LMXdLSka2d/Caz6FMnykILqxxsokgTfutGIn1
JrLkVQ16kW+XIJl6MAFo7SDizIexrSERlJNzUkX3zL0DvcmsN+j2+Kn8q04N45XjENtYNoQCu3b/
qOT4ZC/tp1F752Vq2+eRkxxOAPZhAoWNTTgruSmZ2r0kw4KewNbatVZOZ79CtddILGEV+QvbADT9
SonMPaIQOxsWTI6+hb1HSGuQpm8oqnja+gOzp5MaCX4drXpNfEIBRRHqm1Y2xam/i5fMwgcVWlf/
nibt4F/+9tLvf/7X+F//5T8X/7SK/9bi789RO1/oj0Gf+o3VGkxPojkUq79flEcM1C3l6TUeniYd
W/CHrck0f7MtbV4CWCNsPQj/v7s/Bn0gAhzoHxA3fx/d/wOjdkouTbj5q0mfaUrQAnrSzkKREeWv
w/Z5KfJBGBWq0iiH5ulQjeCY9DYVl7Olb2lCPB9QyDKfi+7BdOi4n+Fs6Jud++3scdV37gjjJlPy
kOo6QDCUYFxEbWBFcOgpFhj3JyT4UD+YupIYjeXKYZDFBH9j1rfhZB4AP21iz76kPnnvCjLDSuoR
YgmguVGhCCqVcBZfTP+eq37adVQyHrz/VaaLG4sqhxf3o0g5W33qn25ubjqR/Cipizzqo8Rq37AL
A8TUpVNLll6siynuoHrd6QIr1qVWbjLvCFPKr6l3lpXQJVnVKxc5c3MF6vccZCSTt+aO5PL3SJdz
88/KrtZF3ky1Z9QtYsEOqkrnqmeHMUmlK0NdIua6WJyoGnuqx0aXkQmuJWQAlJZKF5nwtX9A20bp
A478mOlStJ2HaF8Lkt1JQmdcEo0NfMUnT9evqY2COqCkVUNrbjE1fywUu76ueqOluBHF7G5nXRHz
a7gydY1MzsPwmOq62fLM+BDpWjrWVXWt6+tFQGOh4IZTHm2YQYVbVE/sMGdQEjMFeqQr9UDX7EYz
BatB1/EDBb2pK/uZEn+S2lbppyeoTeeyx7o/FWTC1E31Ver2oEuM2950LhPdOMQLzX/Y+m98K99z
yfQTlo6g9e5fYjf5smJgRnOL4SP92ZXk1YUHDfbU6o5l1r2L0F1MJNjz9H1LX+yI8EDTUDPic3ep
7n9aRdefjACrHW+hxBXYPBAGM4WRjYYX7izdRhE2fWem1GyiyV9q3WoVaNbW5ZzhRWXxTWToqqE7
cunPBvwEtCDTa9aAqMjo4VoQgaij9tjpn1t6vGVMrsrcumLayr8fJDeOczuU88ti2Q+1bhOJDrzl
0L5Idf+YugfZsgJKjFOWEMQ7GEbIVLij6aT7RFY3r/GTA2Z0ylcrFM6p0c2qVbTkD+gGlvLsnvd5
uNCf8aSbXKK/D55ueysDwJNuhGvdEiNZLTW76MMhDejQ5eMGBnl8taA53qS6qabULake1VHqhns0
grtOt+DkmBC7q9typRt0pVv1Sjftiu7dWYI3lsXabD/SLOkW36LXVx45n4lu/y09CGDfBtaH2cDY
5BkOj5gqgrlByfwg7tBzFUwUFJOFQYz5ftHDBkuPHdKsbHddCg8/MHKDRlOyuwcCuna7LNnZkvxL
M9IpfX1ygIKabVJeAcTs6LIsmTE6KwN3XaAt2MEioY2RtbNtS/5UkMOHOahDoC4BEa9nSx9Mlbxn
Umc+4aGubtNAvIKAinYoehxyQAIfXt1cbWrP7/fRMpCQZkGtNWYz3YVTgusbuhn9BAdKkSzeZYqY
czNag1qNlXjqjOjH6IX+jQzceA+MyL6Bq5GcDO0bc1uiZbuon57YF0K8i3CXgVDHYenywjcjUk67
ZyDh2ujvoEMEXlecMtmFG8JGyo1Azr93RfVshTaHtj9DeZg6mmWfg1yMwU0/F4+93fdbqTxaKBdW
n9cuVPF+pnZw8l5rU8iLseunjTuOGFfBZXggmcJw4TZgrgnl+T5fEApZTvM8jRg1fLG8Be6U7gQs
VMuPiFA35nxroOwfMjafFboxonFH6BdinvmfWXDK9aRxqONou+R4p8QQj+vQlv0h7aD7u12rtmU7
qs0Cl2SHZOuhjMudOzHCTtJwuXcsXFgRedpcEEv71SArWzPdfEMwO679UL5VeL3PXjI+eE25rKvU
Owddbu+aqM/3pRmcgzC+6mMIiUixXaClFrNxNNp7VsdsprrFZofEHBymVzoFl5AWmGZY41YRKNu3
/ifF2JtBQMZQtldq7rZVh3yuFjSO8/di1s/+GB4DFWIlQRfSGbmLUCvnIZ3YTyXP6TjtXNtHKf+/
yTuTJMmRbLtu5QvnSAGgim7AicF6MzfzNryZQDzcPdA3ih5YzeeIwi1wwgEp3Ad3woMsZlVUfskU
ySlrGhJuHmGAqj59795znS2bq9xn+oi7KxhBSBWJvtK06JMjwsHaL6INZqLXrAyHDSPfepN22m0x
IUSlYUPCdMJdwnTKjEfdcJs31SlNvbeQree21xr4Cd1Ii8gFwRNgYWZVT+MaysyPIjQ3cy0k/tzw
PMv6XNjpR9l0cAaGwV65xURK6Gwg0xPVbjLFXovs4GYcjX4T2E1542qIHjEYa2sxFfXLMJGKnI3Z
sSNQ/pBSgPp0kDZ65DD9aqeHoGuR/ej0PAiafAq1DiFKWVIEey4CSN6Kg2MmPCcxXzTJBpgwIdwI
DD9rzbV/dKSNHUXrPbixbe68IMNqNY6vYxm+gJ/Zat57YWd+wMwLQ+1EDwkUyzELGvDbFnFhYaxd
nSh/Zuz03QZVtwJUcVg6ONuCaooIi4xq2UHY34THoc0PhiT6EyTtIdZ0bv+VOEcSCgW5gLsht+Ar
VDQNIo38cuKdk33nKP4zTLy4dPmqwPUKdnarpSP03b5+KDXjuU9o1oJVEQSYRtGHZ0xrJDB3db93
UEY5kSrhO3MR7yNwtSBQHNxpKrB1tAA53ZehYznPl75vP7JiLHcB7LmQx7AWHaiUFAugS6oT+yWX
bnWr093eqBijBl5G5ApbB4rDhI6xM412U8bQc4ZhmTFNzdZIOo12+vjVM6OVRfLWafaJFKNqWwsa
T1Onq0uaYznVVH4PZMJiyBTkayQLD31p3wxW/5k2LScCq5N4xeNgqAt8JSzoxlUnnKpNyxLnDPqM
ABPNamp/5Wg7bygONkkYbOn2QMXNxXZcSIt6zvYrK9RespPf4yFc83UTIj1+YoT/1qr3MuIAJKjo
YQqRqVt1gXeCEaKv062eJPlSqsl9EtucLSVFhQRMUjzIXSaxywb1EQgiR1mvQYSgKAyNJ+WZx66K
HlSjP0lrPjnuqbPNa2xOL15B+kcwVsjE6WrSVMc/ecko0NBzm5PfW260N3J9XQt709vdyey4krtm
+A0n34Yy9JJyn4Zec1XNQAK6Xq0SpH5wiziOlUdeCTq1IiE5Ae6dMb+ZIdiQvDg1KQOLAde31jDb
SZPkIIjHMmTAZbfUdkVQ1euONYSB2AoPkOkAY73QNlTrSRPGpivh68QN3a5i6q6BRS+HP+Lwl+Id
q1mwSTOm9qJdV6FJyqw7XDnkktUkc5K09BKF/9ZA00+8FsSZRetV1Wcx8XqSZV3BLsH8NZ4aaFTw
Da+zCK9l3cU7BGgAnDrKS/cxwY6Gaa9hPKqRyXkDpH1fte27bhMmOJXOExUBZqqI0ZzR7qZaIC7s
mzcn5NGYVV9uGw0FTzsHZ7MVb1Ed7LFArbzUvGqm9x2K20MwwAawSHYxiQV0POvH1HoIsIMeSUDG
qNqi0NJ4THlzTBo0a12T6Icu72tmfgI/fN3dJnTRHQm1KtXcDlOTd58qpHaursPjN98crQo3Jnko
YMvteDOEOit5NK+DqQ6ZTi0iS1o0BWmfTPk2vUvfmZAA8lNtenbWDSwueO2l3fpupD7bsCIeROhb
x+XlKVpdZ1SpcbUfA2yq2k2tmtdYFu+5AthSiXStgmji++4y7A6RBlbJ/WFV5n0SU9/2DZzC0ThA
9tkxe99N7SKJ9jr8BY1NaQ7tpBbeTehqn4iLgWaXtB9KcF7aTLRWIZNj2NtXT6ll4nBny/6IuQO7
PQCbrtjrpsvrq2OpmEiOGnPS2IDLM10qMTR6XwQYN3zrzboBEOa7wnlUs8td0IMJmrXJJW+DbVgi
vRScN/twMO/NYvjRAi6SsItX0CzmnVWASsLHmaPgct6JXvjmMV8PQhAXuSJwiO7gwbWrfVA17g47
51MCXwmlRE3RjagDpgUQsrJp986SvNy1GdJAootJtYkomMLsErXV1Yj1fWaS9TNkgXPUZn3v6e2z
3hjFstYAN2XGeXJQmLOZvooSM7k9iC+SZLbZhA5/AMCzmoqMW8/QVIwlsgTokNWsHdA1vrK9Z7dz
8X0SYTkZS1XbOW+je64cSinONNdg9yZX/NQs9dzgcunAwr2KqvLZySivea8OLjOdyQUXMjswTd3O
0TYwXCG9iexieLs0BIfZRdp9sPSqFgh9mc3falillSZWjTfeAduCQzDad0Y6k7yWOCuSg14b6yvI
GnurZtzIUnVP3BkTbitiZxmkcRetRTQFPVLLph7JHlzZX4dlOcIAelgmYQAD1IupdiYIJsNOQTCV
j3bgnTwbE3lfaYw0iJwo2HhAndlQpg1m9Mb0xJf5Gmm47KOo3Opd+hGhyUCJUj9aPDruryDQWMFx
NkE+aNFFmHK+Itkp4WNwyXdNTsEGny7WGLXu2yjex0n3oJn5Me24pDVG27BzstnjbYIgWm3HOrnW
nv2U4/3lt1DmnlVFbzt4n0Kxp3XtDyN2Fmndp6MysfWUfoiwkMgN+xnpyA83Fn6WcmtxtSdiBw9B
ah3QuDyW4OOLpnwacAQG0UVOuUcqBUMLs9imRfMcW+KaObQyRJd8q9jZSM/LAK/t2dwR4Ujq9Cm1
1kyGV8rEA1gVd1njnk3z6Lj1M93mXVZYO92Sx44WdGbhDxjrK3G90CMCwrtiaNuRhQHBch6jIL6O
GaYkQZM6MP0RpQM8nFXQWauydg99u5UEmXGy4Xyn0U4sQ4BB1qQSmF9z+E5+GWrPC2x/mEihcM9x
AlFDY6agCsgiebTFJQ/DkHQGr1gSg6r2q8PB3sbRWyyYVeffGPHFs/Wg49se7bZeNzl6o6Srb6JY
tw60f2eX2DKjPHhkAayC+lAz1ySKkfUDUep1ZJUUKI/QUn2G06XX7Rc87mAOgg3U1TevK3fQXQkf
aDayAAzR0plu9iGYp3NqOXBk7CMsrmFI7ux0vu3iNthUgMZJmWj5N2tL57hUNxAZym1ppe8AH/iy
MvsiUw+Hq+ugXjFwExl71zulFjdHITmT6RfoTugbKeEN4TzOq1gYID/M2V0T/rWtLDZDd+pvIcV8
WTnmzTKmqMlq9GXFmbMbcYYzWOs0Iq3NZebtdNoqcoJqnzvhe4clOxIphMnQ+mYW5l09uJ+tuzHG
19Lq9k45V4jNab6LeJN6+27q3ZXKiUNJ6uq4zM4OlRbt4yJ+k21kn8jCvsWvDrDczD4g6b1iB0YL
Ki9Nr6SPpOJltnOYzkVzA40u8fucx15b2kOTm8cyarvdmGQE6eTGJaqGl8I1Ho3aGuCKRF909T8C
STdYkNaoGBJsTCZjq8nG4KYS/RGpWLNN6evhFMey2kIwQRGGnye+n8M4PU12+4JMVnJvK+jZBf2x
tpI7B/AfiYLxSYzmI0yBD5JMv7fzhESVwEhuVmyjZR8fDQ9NRc1yE1rg7YsxKmC5QN3MxvnOgyOd
mMO17uYzw2Rszxa0wiJTD1FFjIScOdDKuj/JKM02rgiuM0EJIICZDqqRxFAyKD7+dTrYhvOnClX/
//z3/1pgm/3f/4X2NM3Adjp8/uf/9FvX+tcf/q1rTeSUtCSeVBTiZBD8JBAn6tqEBeIsfHZB//rv
XWtD/0WQqICJFZutQbgvotL/51ghIIHOs+kBWoe7u2Qn/JWmtb70pH/uWWMewK0CId5hZXtC/I6T
K9K2H3uI2/tOE8UDqqmbMdC7rZGRLlRa7qcVNeIdPKfkkCuZmAxpsiVFD8oDDc6SiyOtp8mhKse9
+epRkpfTwLSnTOq1cIpma6rkDr0RQEs9zpFtz+IWdRS3rLIBlVh0u1LyHg/hiQ8O9oaM1uAcE5/i
7KJ55CAqjzxZk9/MMO+7zOKbRZ9CFVV9D6bwkFM4dEUQPTN6nPYi1a9m2yNL4iQP92NEymNuzB6X
Y/XlRll0Y2VFeJw0QgzJXvO0R/hA+S4hFvDFs+BP68YgJD2dJSmhGbBvpsEYfy9Rofkx2U0MacO9
FfcZFztrCOQm7GGBo/0ey++jStJlmgo1PkPa4vbmh5fw0hgddCW0Vth7+kevkNOeqTQ1vR5oKVo2
gKwacniLKWTpMB6ObVxl9B2dW1AD+84ExEVgCrvNuNAoLENDB29Xtub3ZRCDU4iID2XTZC8VY/sF
f5IyuQoqSH+LOA5/8Rr1b/uU1Cl9h77oDi3v3DY15iK66vQ2kffnae4c/oXW/Z8n3e8xh3T/tovf
/yCh++87wPIxP+0AxGzTKSJBC4cII6jfcHwW65yZFfQiiHviJ88ayxyBNop2F5MbPUX35x3Ack0D
05pu2dhLUBL/lS0AavF/2AJM8r49bCc2U1hp/C6OjsbVSNPQGRgCN1eHTstKFLh+6766y8wGCsYS
H03QThzYN7CeX0Ou+C4Dkcyc70M754qmv+SmfoNv4t4tSGxyiNtysOyuykZ8aMF1MuHG2rBIQvNA
Q3/PHX9lje2Di44dQy3Bjk0szl2P9dLeEOmTIpxID4pbrV4NCBzArZTONY2cHSq8L3MosQk33v2S
eT2k6lZ19V3HP4bgVEFzu4CemaJ/GrNFUWfT30vN9mxZdo/dtNp2rkBsANgU7yYrp0JA5dXL9QUv
y3jEYOizfXI9qaei/27REAJXWYi1uumsV4b59WMXuM94hFEOygpJ/NA1zXrKU59MCr4DgqEYLQMo
yzddrPalHu0LIwKBouRpbMc9TjpUF/NwhI32Qav/Cd361jM+UILhXhWkpNanoiNATnmeH9UEY6U3
MfoFvQyPoxw70uQQvJvwpHtGeSgqS4j53pDFx4nco31XO9hY52K6GsuO2C97I8ChxdC899g0lwGG
X3YhwpDgnSjiehMnxQVZJjLKuL0My95rEVqMKMeDEB6eKJn3Ldv0BJYMWzM7d+0E4lYtuzktBmJ9
VXYnl52e/VutuQQirecY6Ov2NQYytOI+Pa5pD3FY6FVCyMZygsSQ/Db5cqp4rWe+F8tBU7cuCehd
t404hAIX9AFN8WHtzNWXSDXrwyoLcXFiRANdIewfGgHIaKC4aTja+KSoszfsvhKz98mqqKapaA+J
rKCVfSRO91D20wal4DGxcDDxmsu7X6f9gfJ5+99qUgpskn6dsL0bUr7blKQLO9mNvJfQta40VlCj
WGhWywNL5ZinNMW58ds1wRua2qlMO+laszOBxYQdTc/Qu3PJBKKTNNJPaxQyeu8uhjA9jQ7j0hG/
Bo3HhzZxdkvo6zZ1kwv2ZR4toAyfSzay48qUdC5SeRK2U90XZX5VRX0cxWvEI+8A5loxrCsv4wcI
U9jXU4mCLOAH7QjAYHnBs7WvsuQS4ZcG9Y2Cb6Yl2YzNczbruxR+ACPeqtqMjflOMjjD0YmbQiDQ
Zr1ZMV23wUZOFEf3oqbZX0YIHwczgRxZLxOTsYbzXTfbqt7Ciwh5Vwcwl+m7adE656p2RlzNTEwC
6jloGlF8pC9vu4R2FY3+OK++xa17tCPrGmRFsulcZ+MN7aHPO25GSyIGUzzZXqciIFhS2Yc4fJzZ
SRjixBWkMjkmuyYCdmfjqcjRrMXaLg8VWw7pItDyy8sMeHFF9NPCZ9TFOqxAHJbijW2JJyKxtHre
7f//p97fADHen9oiSYf4H5S69def2LGWT/jttLN/+RUWu5i0l7KWivO3087GdCVt/NkuR5ct/2HH
Wupdoh/Az0KBcQWSjJ/qXQQfuotV0iTyiDzXv+TQlnzQ7+pdqnCOWpNSnF9oLBqOnxzaLWEOepO1
JtPdbHR2TqPrkDpHRJPk+XYpOdHh/GEiD7+PachGvJgdBLbYThi+UnUWGy0eGFJOQVZ+18ai/LBo
OzerMJC6Hyzka6JkvJ3BKwePheZ2c6CbUd/KUc7TmjEbV71qNMmk9CI0IKTSLyokzkJeYiXxkrTt
gKy7QXxcqbB2fJ2/bflhgsJlJUnoqtYoScUrujRX+RnKuQfc49+qxEnoQFhmvC6SIDNuybxuiQ7F
Qr44Ecze5H4bWPTman3ZkmLYePJfwBj8t9d/Kbv+WKv096wukvH+GFGwfMZvC8D9BTCiYVLvCWBE
Py8ABz8iLx2lm83YYhEI/eYIZmlwEeRnDIFbFlLB3xeAIX/xLAbhnkuukUup9peqvWUl/dMCoKQ0
bVPormEbrE594Sf9tAC6wh5nza3nA73iJFmLls5PSKNZrr2IjuMqLPQEKaATTQ+T5urjyqg6nORj
1hr7rOi3ZoDBAwAIDTsO73Tp+ngF05G8QH6H1rcP3zLk0beIn6dXaKoIe73BKqNt1TloFjK7mL8M
SLIu9w8IzBLP2L4EG/5cDDHTWvrn5a1tRi3oEQ3Gah/RpzQheNo9cbqVa0QrwLZGt22Gug+vtjdT
rqz6eRI/YAUxf6HfAWkHXgxGZN1oQuQGBtahIffmD7dlTOvX8cKCqTtbrabBKz6Z1nm0LjXaSZOh
xeZKk9ZwSUE6YWoMFwyRGTSuC8W2H66OhtqfLBA9uU4iR9Bhl5K+VRsx1vDbOCbBU8Bnea5cEvG2
RJuyzgKvoudj6/Khi7ECgAdW44ugvCcpDHbAiiFE89QmQfXR6Q0naDLMn45o8juMfHDjkRVj7Mgx
jPA9olhl1sG9TdPsfcvzwWqDacSJKAtxe37qOuP40XOfo9o4de14MrOG9R4lTIkZqSGFk/sOp3N3
xFOxncD30rY4VSCbVqOc+LDupjUZRhSYZGQvN5r9mkpnSeAI77U+mH0vKs5Vy7GuoQnnEXgPBr1R
u3CY29Cqi+foHDZ3ukJaQ84Ddo8HzoIjcoELXdDvgOdPpEesUZDSt856KFy573Riq6L62E5LxKFA
3FNHeA8AiDLeZuQYk/vK4Av9yVmGjnnRTMfBaCBfq5gpH4rPE0ThA3zBRQb/XVnBXUi6DI3VvPRR
wDFgAAiDqB7tiJcsrQeBwD1qkrUJ9o878JcDo9YHeUEAnY06IOu+MiIX15G8HU3S52ww/VVT4Ktc
SlTVPquajryGlGm1TOL80tTjTYbnMukJReM7eU6NyngfDVCtk2Nfx4jqMNLOEWwQoKr6vorbXZZ8
FVOBNa4eHiIp+e9l+UXoaBWCKAoeRi0ncIcuwUsWOvd1d8X7dzQynf6K+0KzEUVZNDB4SZVvuBpy
oq6Zjq3geTZxRJiKJs8MoL9o8TP5yJ37PoRwOELdhjUCvX98ISDuvamTTYyoddUOHvCKGf1BpaFZ
d2xnXTfmIzqwb170VKBEnKbnTMiTMogg65t9rN8n+LTaHgDHLDaupNbqh51Q5g35eXeNvjacFiqQ
s+qzHa+/xL/2wwgItOnUugus8clilaaOeSQ3Y9VruwDOh2vOvt7d6h4YDoZzJpkbRkC0t5uFrMeI
7jTcdIJaXNCTtRkRInKOrA+7ScsPRmFu5M+Y9u5gF7TN1iWn+4pNt6VvPuX6JeGgjzCPWlnC7VIG
+Hf1OHsqwYlAnZ7DeyFmbD/8Lc/0I1nmP+xSJ7Ou6/p97I595SOicrElDHmDH2uMvfVPh8rt31pu
P6M8ft+IA0xj2ZaHg51mnAHi5p/35VlTSrXaaB3Y50bAqk6yRU5e/e2Q/kNgyK/1zc/9vuXXQMGh
gch5I3V7aQb8tP2TcszbkknrUOvuW1R23v2QWnhPRRu/MQ+n6JcjCRVV1z0a8J2xhDHzSWszpbZX
UNUn8CuRU6sbq42izV//ClwKRmDINDflcgb+/G+bjRgjmZqsgxZ5ASIhENOawun357/lPx6AdM04
+KTkCzcgdvzzbyE6L3S62rAO1QSSK8KHTvu195k+WP6o2EbNdnz79Vf+C6AjXb6dPy6N9v/z3//t
8X/9tyL6k8Jo+YTfCiNiSj2LkAl94UAivP7HzcD6xViuBlRLf1Nw/6MwopgC2CSWP0bEzXvxj8LI
ISsYdBN4FWl4nmn8JVSK6S2Vz89Lw7aWctCm2UaRJczfy7fxq9QBSjV5QJpYEPGl7qXKyLhxvQrk
mwwLGPlzP0zH3EYOR1ds7EAjU+vs9BSJ3tbmeKTPSwTLzeDl8eLUiMlTyece8GMSFR69FhiMVtMN
1m5u1XBs2gnXDVbA5hUFwCxOjJldVAOpHPNjUXfe0VXo5gDiaegTU0cF5obgCf2KIT0MGAyD8E/J
q/rQScjGzTtO1hbDT/0VAse2/A593d42rapZTZFlnuK2mRGFjAPdnhjr1T5kqMWBwTxIrMlndL8q
5kgvfROm9OanENuzvsRMGEMVvAVuj1WF60nk0v2W70M8po/QtF+12TrRP/wkgc29Tnk4+dDCNyiU
h9NI9hZOzHJnYTPceHn2mET5zm7HB3DU27Y0rpAp92auntxAf1Q1G76tI4Av8QgiXqme3LG6gSFJ
X5yre6FHL0ODMXqY9G82WUqCsG8ps6es57AANeGHYV8f+3F8nrG1b8usnvd2CL1gEUHEG8ca3806
PhURCAy9o0+FhJVSbkhuvBZyILLi7lDl2ks6StFtJs0Up7zKtENjLupeBpgusrsZK66Vj8hM0nAf
xeGHPhuEYcHXE9ZrQRYckc7nWj6PwvXhUi5ddkzMV6SQ+7I7J2V6WyIOXMX5JR5QwYga0XnPJDyO
z6lTPdIFPahYnvV02Oa8AKL7nhGvl9q7oaDjgwInRebhvuH17r/nWQUZ2ub9a7dwgN/x3e0m1z4m
YfiNqAnupUWQbIi6miaagsK9Vtp9wZLa1NHBa6AjB2OuDpaNjjsmLGVn8DjOViBWFcP+hXvR4xiP
xXCDupSJuQXcUqVr6CX+CHCy8aZHSyUoLYAoeN6Rs8H8yqAc48xdd7RYLDQSjXwYMqRcNa65iHtz
6iH+qTa5LPYNeV4VNkliC1dDT/7ZYq4pDszBmBfXlMmpWAlnUyAcpit8qkjJK3GbV0N5iGH+FZVE
J49mwdPwGbgqg4IJXUCd7dD7MYTDwXWqV44weAvtUSrUSKk+dI+hEigbZvQWwadLBqyXbwtjviVX
uPOjdGMW2IbdcNsU+3Ewn4dSnDKR7WIzfgkaMZ6DUTZPvdLfcnQOkflVFvDNy2CbJBUU1mnTGhZK
1KV+zckWT8BjcKmAbl1vVN2fs+CMjU3fjb1xmpuPuv2oRbIb+mPnmMWzF3wlYbmrFlW3njwbqXVx
tf6NjvwGyTN+wtFKYI54g4d4r5ADDbcZEeo+MD3sFEQfM7RaPPlNHRd+BjiO3nkSOh+9UfHHWqFX
302FDnhtuaI4dTTSNDyVzOBJWKgi5GNG1h+6YgwtFHHJobXt1OEp59s2p2EfNLHy/1XORYfD44/P
xVNJv6z7s3bB8vO/nYpgwqRj2FR9xKkup9jf+2XOL8yEOI/IV10OOH7mt3YBDGbDYfzLTd4xXC70
/zgVxS98iE3wKemrHGniLw2IsSP/7lRkXsURYZoOcfCubojf1aVS5mOIMK4+YHfNSJ0HVRqr9CtP
aWoToOytgyoHsz5n5hrr48btiGVUlZ5s5pgZyNgqew8a7NVTNrOAJjjnVVkcYrd69AwXYH8KDTDM
ub8wtgXRTMxQDgoJpACEUCMUq8lRz1OlySPuL2fDEL3e9n3RrD0TbqlNqYr4EZT4IIHhctFcJ4R8
r5IInDHRh8ahbbIHWRIvUMWJdpUJjupkyPPneEA2V3DMcB+rp5tilmx0nIagXvpy74JQ34IwQHdt
dLUfa6g+R8ZMfssy2RiK8lc22hFV6rjKpNOsINfj0OAcXdmsn423hHA05GSs1YBKhy8O/a0Fl95W
1RmmzS0eUBKg8ecDp4ww6qqTBkD0KZTOj67AMpQnw83gSkSr1Zz4xjR+n0OY7JZjl9c+QlAzWjqG
K9Tkd7GBxtepXIw/FbGJ1CC3aiSBllzF4a7FG7rXGxJoVTgDju1R6KepPbBFB7dOKNLzZDSnChbw
Ku+GYxrl79CavUOmyscgb062apptjdkM/uwFaCKw7Dy4jVt1bfoYywxUaoLlTmknGK5VLlrKYAD4
OiN3Sytvh4azP+rpop1Ni/tSZLRISNDyqTqmrTWCfW8XrnHujFc1Dxd6lfjE9O4xm4YaFByTLJWT
smTRA+qDdiP0+Di2OTLcYNz1jjgp1dOWlQHtKQ/rfJ00WAywMqW19cFE45y6AY7+dG0uPgOk3ZjK
PV/GVAUGbnipRwGs7vAWH5TLJdWdcPOod8eLyBUavMeCcReqB+SGFmVMW4fdJuqZIjKeoymjPI18
04SccTcXfmf15OGVaXKIx7hh3hWTfzTJUd3Eafnp9rLZiHq6pTXk7ZBHRzhjGaAB1+yxUmj9JjQC
+sXc/JBIWyFkhcZaxXqKL905BQ78n8gbP8tu21bz3di6Hzg/VqSPYXR2FKhbGXBc/hrhCRM/X2Rd
1q0JH+ggs5ZoJhlnexH2/W7u63JdkbV9sJ3whowDPBglWGgrSuKbLiWqcepxpRfBuA4y++zZRG0k
+h6dBtE7CKKb6EFfkrH4O51z49SsEOa3iycCv51rO0cOZhcXgPNkG4ztiOGlrW68t5mIdmqOyWuJ
H52F06W0b0SxrDAA+OXo3edGu230mYnTS5VNZ5aUjtATwZeVuNXeTKtjlQtv0Y3mqDDzXVzHJH3b
93nAB1SBAjNkYrPKYhhPMSDvVaqZ3+MC72+a6RfwMi0mJJ2agonFoUjS8+x4fpk2RMgr97ML+DaD
fKAAKEAYDjuX4ghxGlQhi4fJ66dW3Uj62RjuvdjeQBoDvdW7RCFVjt+FAfuYMLbAGO5nj3CHGeWL
T2/0dW4HlF8mKRKmPvqTjfk4N9RVxJBSC5pKefUeMSZ3M4eKzCDbAAdoLwAWzDrSTT1Nb7Qh1zbt
3JJ/3vWP6TRs0fgf3aDf01Q990V0KE1iHc6VKa4tX0xr6USKWXgRPW+t5cZNMmCJ9FILl7tpoLwt
xu7C7YfyuqYuHNqRD9sr6MyUhUw4smtDfW/U4J1Lmqk5k/0SpzpT1mzwBELV+ZrJg22710R1r/Bh
Rd2LNVruR64WTxbmH3I97uHdTRA6ovVUAbLV8ABOgflgYlwi/eacKbHVpNwnVvESTDCHdHSBFZCq
eNFqelHfbEn7xE8kqEYag/lFnz61bnsrODp8KC9wYRk6e919LbuN6iIAtp1z16I4XVJqHhO93CgN
1WPmjSSITv2zoFlJUnyym8tyJyqCvQm7svKWBwAfzx1K66bKjWYNvGAnTDBQZWVtVBWyiyJH8L0g
MiF8PYLc+4h7HFZvZulW/tQN0MVisiwz/P4rTxPxZyc7esluzrTa2EUu74JWUuzr8lRKa5XBDMeR
3vgNG8PUHQz1MFtXq79MoAAc2ow+4dtbE5DguqNBthSS+MlUYvvgRPRzL5LbIF+SWdMSsQY4y0DT
Tp6mEy7MyIvNdyTyDFV/MrTcpGi9r2HGgKAbgPbCIh8Ie1P6zkznfN3o0SUNhnMOaN7p0w+NXN3I
qnYZRqk+5aSHAXU/CKC8ejeysLZoOn+41tSuORzjlanIXqwmeFLhtCqiHjEGYSrKQ1ENX+kxs3oT
44x7KNqxhLXV3JMu89FROsuu2UuPf1EbcrdoesgUqT29EUve7Hs9lL5R2kctIfW6jhVZM9E1qMdt
6mRMI9TnlPTHMAHLnnh3FlJgLIVvjKOPcQV2V+Wl2OXLa2c3ZNEiYwYIwsoZU5q/kmXQie7Fqp4r
4hW9Rw17F3tJbO609CaPP2VcaRsv9NZzyDlKQMBeQhh1P1XOs3dsXpBiLxgooIoW23gYw12KdkRr
LxVx0pR3DLYtWCS6cT/U+taSAHV0diM1ZMt1Q8s2Q0xqc6JdALFw2Fr8s3Jz1WNw29UjOrfW4q0+
Ri4BVEES+ha1uG+M8zaa5vtWcY2p0oqQg7dEFtvafZ2izwyxr0oUI8qGTBl1ZF7xQ8aKHbq/OMT4
ESfoAayIk2DLE98ShYx74L6nVWsxnOw01nkeXrLAEECIUAVHGrlSw0QEu0YibCIjTAIku1Re+E0Z
0YftaoVvwhOewbfwXCK66zkXgxrfBdKMxM+arzFDSTO3yPDJDq7x+Mp7WzM+klBMG9S0n3XlPGuB
ts9ccx32xmEWwVMYc68gH3PR+8tDXtm4vrMScKB7U8QuZJzkG0D2Q1FGJw7OTSejHa2KK00SudEL
Zh9I3C96N7w6UpvYCZgqIbyGM3/sa8o9ZOF54x3znmlPCo5KepcBnr2XRdu5K15bKY8G3t5VVSZH
W+2skfGTHG+GpGTL1LgDy+k8jlvoKZ9dWz2Mgdr14JBWwFkQDhICaBuryg53I9TJWNw387RJSoW/
NnGelHTPlDmopJUvk+wlIU3Ce5+ZhdRj8arigHITAXh0SyQjo1rfwx+aCBPtNrf1+MEQt1H62QlA
3+SPc90mYoT2uye/2RndpPkL1yW6SDhQrdpF0HsKbqO37tCQeiSY8ZLlmTqYiUV6LBH9You7wt0D
R2Z94lg46zbefJBmn2lCNz/Xvyd5jSEiG2FbsZnP+cJwSuHb9N7RdDWC63OsuBCY1MVpu/G5tJsT
OKhpaJHVSKbKjqHtkiq/6MhlsW/OJrVNs+1E+tGYzk42JjtEVL7lzPay7thm6qsVxFHMrnHKa2I1
C6GqU0Vjatck5QSuRD1GHgzFhiLszpsRalu4Ig+jTUxUVsl3hm6xn6rxRzV7d23RHJUDE4wL9jEk
ot0qmY0kQUryZUuyct3aCP9JCwlyehDDYH8fBni+wiUpNexTZxfYxfOAgRKrbHlr9KRQ/V/yziTH
biTd0lvJDTBAo7Gd3r71vp8QkkvOnjT2zRZqUlso1PQBDyjUqGqYtZG3k/roSkVIilQkYpoRk0BA
oevu13nN/uac7/BK7T7q5ydHpTrSofI1lIh8ME+GeNC6On2suMiWuaYOBkkGcACvEdl/1JOuW+G1
4BJYt62PLrxszT0JeNPBxu7Kcsa9rER4M4pc2zdMsxbpiExNL7OHIhsNGhyyBHyXUtSebtgx1qvU
dV4rw1DruBvPBeSDRTHUxK4LN1lr8VBtFFFpy6ib95+VedOO4slxtLMlvXwbkZ+yINMsXFYtIx+X
VQl1js9QQvnWapz4ifHm7f2MDUzv249enYLuzEnS1Sxtjx+MbLkmOeaOd6M1NRxIfK14NliWmDne
To9QSmDLAWYfj05IC0uOE5/nzwpR4qSD+9HxEuwDwVs78hlnxn+l19N9bCdY2TrQFQ1gtFVHR7DU
Og9+geI8qUp3QCnWHtthHgZ596ElX1PGpwuGMdVmsPFO5UV0ZBDCJYIZ5r6imaizdPY9zhtWXCiE
I57qNAe55CX6InKRFfIbz1aVgrs/AIkINEJES3LfPE46oxR3AOrZWcVMR7XMPBRZfRfK2FqlRnM1
eERust166bAGL5LW8paJ7wWU51O6ZjKVkBpnYzCpESQPFdYCm8ReV3c+u3aF7ZHnfCkalxAzHTpT
rbM7n8rY2ttVNB4LDdSabaUwZtJybToq5qZiF1hPSJ98zCnR6MY4TzzcY76m78KqYrFs1iANO+Ps
4NlcCml87uyp3Dpdeyt1JyHHaJp2dSEvrbIcV0ElFClj09ktgEFK17jXxh6DWQ4ONRgmIoJMh6V+
rwdHorrFUaieOEA7eAN3nTMNTC47tJUrEc66tYmyJ3QsfzVx6i7jCoRxXQ6nBg8cgstRPTedFS7+
/SdFv0qB/3hYNC9RLn6iLfnuJb7Oi+xfBPFaDISQajPnYWDzVV9lsSvxdHQnhiD+e07w/se8CNQN
kwQWi9Yct00B+ZuamD9iwONaHqgmfAXzguVPGArMWd3y/RbFhHQtUWTMXwdPww9LPF/PkFFlMcp7
3DWhVj0GTn81EdBaJcQLDh9APOF6OCJKPQZpdygV0HcTc6EBIUM2/qPmyhertG4C1FvYe9ylZD0p
RlxbY7xNybNaqtl/VXkjTRl3DdhmKyjeUuNWuQbzGmOR4cAM/KMvGSagpoJBdeakQsCIE/WmojLW
7YAEHn87OWG9SMXnqGg+uUww8A6vdIN6ucTxCP8+DvtugdkSymm0Icp60+NAN/pNULu3vRxJ7760
wPuApQPdIUw4tJxGBNyv+tp49atulY8WnA1zUclz3p4NsesqQMjR06AfDfWEHGAxkpCkAd2ElC/s
neeUV71jgUnulk651t1sUyG5aaqnzofKVVRirwVoQNqQylRn7JFn955sHyhiltoUHM2aeGQAJIPd
HFoT8FAuSd3C8iTRog69trem+Io2lCLWG85JoV/ZIOlDMzur1KKGoruuTZr7DufAQurjdQzDBmTO
ORARm5IiOTA7S5Zj1BwHbK381OOKwTTB7eMxo2IO+nYD12Blej0iUpo6Fxtl9GI3lNqtSO/rjCji
VOcVmGuvohS0mKNvfUIBVmrcoLKD2eGiQ8j3OMMuM8kgRWgHXXiA2mCE5Ajpulbb+2h0LPJ/baDY
KA+O5FAifzBXAwlpWEMjPNsa8UbT8FDN83fBJEMJ/zCOVI6JMed9gyLUrxsfD+3gpcGyNa2lsni0
UtWeGhZWywKwKcoGNk+gCaZtVvnextV0gG82tOcy7t5EDBqhiO8jC9mzYbXnTvnXhXAOTmAWC8uo
KzrCql000riuEpQ1IN1adBFJab0EFisPPRi3xBKpJQ3BbiDBcaWxA1wbTnUzpcyVgiZd+6UkxLdL
7+3ReAxrDHeCkDS015Ap52g0PwyIxBrDdFnOdX0ky2A5GAQ9gDMH7OJiAssYkuGoTp90Lb8YTYuZ
ZGYeLQNE4WwpVc1pHD6TQYtuYh8ZHyfTWUNEuRgJLW14rif7U2U8DJSRoNMPUq9PYImXJVWZU4R7
J09vm5GHD7M2Q2IESQxf8yfCGXbCny7i6LEPmDiROrbK0csscLKA8S54/Hvjw5BpFJJiTcguwazB
QZh3RQ7LPA2aY4Hgos+Nc6lX+xQjQBDrJ9GReD9XKVVbo3zJn+BCPXRy/KjBzNtg4j6Dvlp0I/NT
YHy7kYFflVUrYSrGIaglhRfsXc3Rl5ltrSKzeakCPEhtgnxLg1xo+23Lh5N81ZhfOHJ9YB9XuWt1
gHBQwYXJKXT1C1X6+8mxl1aH3KhQkF7rdJuJywgkUtXse13tyFH1um5f+KRBd69ep6DNIOVxEXHN
4TUKuTd8FryTwPHJOD0OTOdq0ZEiWHkC05VHxFV+kbXE60YnJySeyl8Svrxyw2jbIMKGQE0a9a2w
L82R6UUKv2JEfVWnc+igt9b8YWfo0wGq6k1ljzDHSZQ2zNUYfMprm9SKZ0Jty6U+4RiEx6diQL0a
yysBiynMs6MmOGct5D6Jd0l63SlyhqPDWCmoDRrX0sj4BuxX/Pykg8NCbENcu25Y3WQkiRlxYyNG
vyjrCedvKF6m8oXFxmMum7tJjue4iU6TTDdaY68bFcygsvpDxUAENvCVKvtw6cZAilzgCtHknJyk
fIrimvMwPUbJpW6kL+DF1jIPGaozHt/ikiHbPHT29MHnoeyveCS2kx8dPBQ9QaGdbYkPTT7GoF4a
5SzyMb5veSCDEi42IUx5Vr6Y5LQbqbMCgMmQEF6pa3CCYRPopHdTSwtD2pM2jOcIRg1omMim9LNI
YE3D+6gfNxzSe1Fc+9O20MlCthas7RZTBya37lepnz/0KHfFwHiXsLMry83/ApTAWWdhmRZFyM93
aF9lt3fVf/3f//YH+pL5Vb5WRuzLXA8bE48jmTrGN/oS+xeEjYaHgNaSlpj/ztdNmvMLkisUt5gs
3//st8pI2L9QyqC4dUwKGRZ0f055O3s2v6+MLGte5yEwmbd9jv7DJg2Nqgn7ptH3ThckMcaZvrsQ
Jf2DAMiEuRJJQTljq+qKAMIkvY5wsAPEgDKqpvI6M40JsaZqypfZHjbglDfzG0aqQPcQTY13inUg
jJp4LK9TGUB8jqb+boy04jI0OTG5D+1MI80HXiBGGqY3KQyGAd3dqpO6Vi+dzg73AFRbGGReG08b
5qK2ierVtJ+bViLCzNo2vBYVXpVjb8ZJfJ30exXqTnrjzzxVLMdRvjIiE0NUnOhiwn6kB/FGgicj
9lpGOvhByO2nmtvxTiXTLSXeie1n81ZXbvKqYKEEC9sZ1DXdrHkBZSekfvIG/yOm0onml+gfMMEM
KCjJ7AqybeMbdU67GYXBanCY7doxIQhXPYE+U3vjWM1VMJMW2aVQF7boTq0Yh5l9dNGzNe2tNrxm
3jkUl04rDqr55CgJX5dhHOfzboqLtetFZ7Q0MyFqE/LtW368jFL4QORYrKNyW9f8x8jKcemiH15k
JLTtOzS+zDuZHy1ijZE7M3bgh8ON1Q6XTa09DEBpBpqvEkgPR+qHZqx3TuyvkDu+GrEWwhSfM+Fi
tVaaf9fpBE+mQPIbgPDOWG1435de6l1Uhr0WdbipRlBF8iYgCIAx1MLnvTFyc48o+ZNkb8UY+NMg
t/Hwoe+yXY19pzen6hTKpWeWkLOZsZNZi+CPyNeInCf7yhM7Vr6vdpNfZaTXOlUPRTvycW6x9hIK
1YOHosZDmQz8pi1OqR1fM6O+LU0QB8sk109eyTDH8GdOYDdcJRrCAd6B6oy/6dV1Yv2cGOG0xDsm
w/hcT0y9HapLsNZ0J2wI6tH5PAqdjcx0kTkgFlzZXHoj489a6546Ud01PPpHHtdqg7oKcJRCFa6Y
Zh/9jCJ1kdTDkiXPbQcnzc57IDvTNR+UQ16cRcXwEb7xmJFD0ucXpYX5DnlPT9XGijbI1nlLtIh4
9fMn4AxbzYj2Wq29FV2+aWv2KqpHsytKbiu0oatQBgcweGrXRzz6MVoOexDOVucJXUq7ee7r8A2P
L68ROjs/TQ90NRQko8OwB2kte+0V67d2ofc4CX2fhNm6qR7HqL8EtJWsBhc8YjYlREE42iY14PHV
ZKJSYRCvswgDxl9gnjoySuC2fem4f6oU/R3MlIYRlZ4w2f7bs1eG0+wboah0RwjCpWfth46MldZ0
nLUDoH/LEMnY/oWae5c35ue32MMXdSQR26//9A77tcGfX+brNUYbj9yR1ln/4u/9tsFHBWnxz1fB
49drzBCEVkkHKoCUUv8ecysIm7NmIC1ToHc27p/o7w2JSev7WwxdrqT8wacFMIARxPfPBf6sGFeH
Fx8cFRS3gTN6O3NK70jqba41nHqcQLSskbJoqSAgBbiIAfpelvAE89cGqFCCGV4TCfaA5og24Inb
l0+vj2fRjO905AG0ttGzVYUbOquARFgcpWNeP3nk2JqjvupA4+u4tBZV4XL4qNex7zdCz8NlI7Rw
rYvkg5KNu9BZ5iKPjxa2GdcLp8yGJaqyu0bPPk0jg2xlRR8Tme1TroiqGLdab1N4M0yEKcMHMWfM
nufixg3Y+fRlcgCIVa99d7owSgKxyeC+L3wWtPTyhBwwvQ0L+iAZX3Mvv1rJ8OBFClKKOyGKSBXk
wOhQ5Myso+as69WN4corpgEB4REoJljLcZ+A/1mwRI7I2oJWxwAg8t2DFbYsHdA8QA5amI3xQMN9
gJ0Jq6Hd6CP+CPZ/V2xc10hbMWlLjnUyQmkbVZyfyN2p1kQtJyRfeGeRhB9MyUYQ55qFFEOh59Ov
NKXyFW8kl0wnT10VC2BLVXRNiY+1eB7sB6CEMYA06zDwgIdp9odZ2BEZ80aiRDYR5vodKMtdkrFj
GnQydL3evWD4Wh7dynsYSveiqwJzw2y4X2la95jxRXZyyk9tUhabQW/Hba/a3ajsN5wsbwgpPjoF
e6m+0GnOtICD2GPVoHXTVU9nFg4yegqZjG8YaxNNUrjFEvpJg8t2slh+lC5LMOODL9onxk7gV1t5
3Q3GUZT6ZzfoXhyCxmB/sVhxGhZlQQcnRWubXaaNb6PqP9bj8Jom1VPai6vezzWs3BH+uqHSVmGY
2OvSMRiZtvldaXOjdbNRA5vgoqszF/FgA9fLRduppLcnAWTFpPeTQlnCkDW8zbr8DvgoWLoIbpc7
nFPdhQYxKneLf4qw+Ipg9PI9I92Xo02vD1emniPUg56hgFHU9aXe040Rm7TJ58j1eg5fd2sESKnb
trtyjmbvakLao4C49noObtfnCPcoMPSTnAhbcJlU85ZfDBAGF12UkJzd5wgwcvemElN3SoY+vvet
cNzmtbuyBEWMgTMgGutbkFfYc9LmyEaD+9g17YMQlX8cK7O5//e/Fb40Ng6Nx8+vBAgS/zP621X4
9/+VB5z5v7Jjfvu7X+8B5xfHhGVuM8JHO/OtMBAhvY4qUHfZQb9bYr+5BxiHcdiDcnFwkfymC2TO
y2sx3mUwDOxhZk38iXvgd9WByQSa1HYTXgQuEmO+Jb6pDjp2QH4f98XBN00BMhwkRJX2SEix0Xyp
Dn5aiDDP/uHC+f5L8SN9+6Va0wPGXLYF9qWweoDMeetnLovqyOqxvdntZ6fU/5UXZx5Sf2cF4Mdj
hE2YI1gO4nV/uOTGCmIxambArLpbf0bOmL6R9RYuXKdh0R/ktrrSJQxpKn6mYJTKFmJvzYxuVRqW
rJ8kYJll2hRWhUqp0h4NLZpe+yAiBL0wZua1NErAnbrFNkgJAwkJRkf1WRlZmi5h1Al8U0MaIFzP
Mt+AsjOxJy30yHqIRzsdFvHQsUurqia+i5swfSzSZtaqdUPfLGEKTPj38os8c8t+oamuhlCpAvRT
/mAIVCiJy3mJtHsVjUV4CHCAfbQKq/vQNohKZuqv1W1zoO2HMbLxw3zzsF99eRO/9Tn97snhocTp
McP6eRp5dL7/dVqtSwKIkakDC9JyE/fz0EVjCeCqQfsiL/7pkyN+33HztVxT4HWFsULN8v3XGkOh
d44zFoc+j/AQVMCDWYaXW71ik0jJweSubLgNGjrYLEP1AVZgHRVhtwtFXG8Kb1zrJdc6KSzg2Lui
+kIM+Ok3+LtdCe8F8aPIfueFjjNbZb59tC2nLIBdlOrgBgj7MxftQOXnxfqP33Fjfpnvnmb03DZK
YVtilaGi/2Hw0IKlN2LpFQfFGPslZOYAI8LrkK2WAcKCtuwb9AxB5T/HZjDGbAs9/ainxZy2k0dV
jfaCxnpRqx5RXSe619mxLtZlVr/pdp2u7VLIXQJDfxnobm78iwfm979ED68OhShBwYJhzA9v0uQN
YlQKzltBYXopqva60Dz3OXWcO3bPwV+gF/lyc8zOqJ/fOncVa8aH6A+tWvMrfL177F/wI7vSwhP1
j+Tc35aMMMx0EA/zA0VD8dsoTf9lTl02WN9hrSNpg4/2r9AyFgp84m3SO3R2kNafWjLOYLTvHmg+
1XwVU9gM1Gaj1nzGfHP75A37QNy3+q5wIiYyTGpMbC4T3GCmQ7a/0L2WijlPIPqsPLcvnVUw+U6y
xmJdEF74jkCo33EI9TsaAeb9zEngkACeHImEMUDXcx73bh99dvQ6h4/ZmR+khe7OSxuG+maAMs6A
RElyUuzrc7qU9N3LINEH8pE8dDc7v4YtNnL4lgeL1VqB1ifv5THmr0RpE1TnSINcszazFD38FHjj
pi+K9C8zHbb5nP/8cf46HV78/T/+8JGeX+W3R3q2V1iYDA1Oku/dhzYPNPWMa9mmORP6vk6HXR5p
mFhUxAxD4HfxpP3jkWY6zKvpFAdzt21Yf6aaMuTvb0Ven+aWK1Fa9NXzTfHNEw1Fm0ZRpMa+cwPt
owW40VrK0jIvnHkcmjY+k1GCvVBS0Se91a08lcxPm3mQClW3P7khpr79FNSjWFeN7rCOtGlTl8B1
SH4mQa0qL4M6UriiKmp4sP7G1MLun3I2xphue9iyFom2lT1Y00ZwQ6fbEuOJhF6UdnKdR0G+M6sm
IvFRGfdhOZj0wLMP0nm3RAYRGO6F60c4JVO2UYsiL25wh+d7+903FIMUUGxLwhZdHDlf4b774jNC
5sjTP7uP7MHUFCy82ZWUOm1+lO9epbhL1cdezA6mdDYz0fuxCh+HCZc7wORxAQPQI8AYC5TmER4b
R7Ibl/67R4pizEdMFAQxWWwwLm41rfQ/oUNL2WGBK3QCY1W5VbOyzGSTGaq7c0Iyz8gTPdaqw3TW
fJiyBLJYmsh6UZplvDV7tZ1wHGzqglIhnmFd/XVll+6m4ircETNC0q/0wfga+tm3ySpGNDOPZeGG
N0gNvXA/NIwQkXIz9SP2iyyGRn9MGY/GrXsJ/p9QrNydruEhrwsnLq6F5UPpdDG7aYHj7gSxWqE1
XNSZSJeitIKSnD7tHNXI9pKw2vWlbFcBiWME1jk9emh+s74dwLqvLTrTkgwawLx1bXNy+aiv2MiN
Mu9ftDztCIaGNb62YOF219W8kZhM8xJgDYGZpSCbh0TF7EiV2V1h0mFQEZnm56DmvUEo/DpjKqx0
2FlD3m883dr6wnj2Y3GKLaJTiib4DMjqwXHDpzQjxFID5SryVVclm7D4WPnqJbdz5scTeXWvYkx2
yrSHKxU0FxXAtbg74ph4cmN+d008x1Nbh97ii6X2MojM6UBqyx6gobtCmncHJAN0dIcbttOZhwPP
HXsU5a7p8DyWN3Wqn4cqYkenVQbIc1UvSU3IkQN7ezTw7NBT47mC2jBYw53bVWuiftF7R7zFeArE
op5X/MqHvQ9NBfW5EHhaaox/iOXrI1rt21BjTUj27GM51uHCN/O3uAo2hW4Tka6hIAhK0AvEOKl1
VG81fri8cCYkGkyYEFk+x2mFdNiP1WoyvJPdB/hjwDRk/YPQVQaaOLpOaV2APiKfd9zGx3MwRtvR
7BodXqQIP3pTZp2H9yXJ9L4w6ZJsQKr9vkh5P3n/Au52iwrl53fMXfj3/xH97V/dMPNr/HbD2PTV
IFv5F2NL/uRr0YRmSxhz781BRBHE8f+NMgsdBrcPKIJ31davNwwdO6UXFbthknoGnPXPXDHW73oN
HAD0QLS0kqkyG9Lvbxin7B07T0RykCIZCf+u2kbgEMEv0UmekEWXVWQtWc7swWJgih7Vtzqv2caw
TDaM1W5VE9Jj6uizemCmcwdcObh+Up1YX6LO07c2bOrP03vL6NTWdCjfG8msNmCGVFXeXpgRPeEK
HUq/nzIXd03V+fGFhWE72Vmi9o4CaAMxAU4yrrGYK/AbeX8fN90IblYvsuspk2xEEh8zGO4dzoOV
qvS+XrqB7/YLqN7lfQvp2lv6Q4u6NNa7Za5L5PxWLjDDEulQ+ttx0JCmJyoBGi77blDrPjHFI6YL
RFJ13OxIdIJP/s2T80+63n/27gMABvSLaNhiJvL9u4+VyXOGRqa44QDeFMOY3zpWMr3+8VeZG7nv
Gj30djx4nuSbnXveHxo9o3B6vUn5HcOneSz9dtgaZRde1Y7hLIM58aNq+vaU9IotZTJWd//+58Cv
+5e5rfz5UfD//vt//Z//TP528ff//a+wr/PrfD0OXD700Fzo8VEYvIsOvh4HcMDY7fDRdsVcb37T
Qxm/UEzS5iI6eJ9Y8CB9LTgF40CXGDIX5sVMh/pTAzzATj88LAzvGAgYJoZ0vkHL/aGJmgrHTAdD
RfugwfoQOeOr0JxLh7jVI6n3D5TQMMetYdzVs58DPM2rTIEdMVFRN3gUcvgHLOujdSazXdmsiQtC
MD/OPCmF+xwJspOy+wAQEK2LQNgLz4FqrDedfpnmMFiDYQCvYBb3mm29pZl79glIWboj/kF4uNeB
M0POp+EjdPMOkXlL1BpuNJcwLfTI3WVUIsyiwmX6j6iMGHVWyIgrCLqTMlj3Zf8WE1y0oSye1nwg
h4sJl83WHjmAzDRFXuTbn5wYkT++2HMWwP4Sfn1va+k5yBS5XlPiHlIq40PBWI/Thxl4hJkGhP6T
q7eQhIywmJGWGP1thRU3HEPWJHITNyRRmXm60eOJmJWaxjDu0V9Vj7LBndoG13ZTKhYb1M9hNptF
7OC2MEfWuUmulh55sluVgvg39SpatyK6x6df7qRvdrumktN5hDdCjcfrqpuxFe2qEqOGStHDZlS6
N03vZIegLfwdrW26DDnB2zQ4srXd9WYEUM2CWZYN03qe6PAIEopm62q2KCM/iZvjlHsPelSLF9lo
4ylRDbkBiO6wJFrRtWtE6SX/16lAhLOMvKK68MOoWIjCf0rYfq/G2juZ2UhyelcgxvWwHNskxGR2
uOplf5Ejvmt4NJh5puuhGE7sHmbLdLpVEKxz2J08UXqwyEyJpDw89YN2UAMbfZkYtyGymFI4mxbi
OCIVsQic8Cg95axLX7v1p+au4YLlvdfu4qDdVhCVFgwat4PUX0eJaqwCKlK7w94t0m1im0fRJc8l
ohFfRVwWQXn0p4kmw3T3NiUkE+BTllfcbbW+nmx2hE50xTbpDH9iY2jxKtayo+G7M1l1reXqqnIF
YF87WsKQQ5IMm2KqH/Smv8vD4UBgA8JlPzwbnbxNhLmJPfgevbkDIWkvjM65xNaTLVhjqnVTuDda
j6xn0vv7KHOffRFdGH16dLvkwornz2AeswsE0dR67S1v0gu0uL2TWdshKR7Nwj5JxmQLwCT3Nr4H
cCrpS9kiHrUmY1NpwY0/ZUdYJrPhFI+PyrZlr248qV0KTbtxBG7YpAgoBpqcKGmLFaMqMFAOk70q
AxOrQxt/zIjF1LThkSE1FFdnEWCAzXyomWRDedp4bVKzWmXPVdyPhF11iswKLV77k9hMJjrMEglz
kelXvvI/mVr8wRlxoCFpPbOr21XSPbFQuytS61gNM0nNQ6uitXcqsz8iY9o1jqWWwiIFqZPNm+sg
e2XygiJbihgsDK2FXzE9jzpFWFLY6nu9dJLrLi3Sp9KK3wLi8lZsZP1DGwp300xTvjVk2JGGiaNa
6yqCgs1PWpyXjIRt4kG7St8DuE+XxKXiBG+vSBi7NMKqOcQcEhjLhgcpJo6HKX5AfX8jQ0A7pbC3
LK9PPjnbZqjdp35yndjWHs3QMZmQu7T+VIG81sIV6/tmaRpg12q/O3mufR/aZUEGnLEXBNiTHeP7
S+ztW1mHUATqCxH0z5qt3dT5gczUO5rRaa23Jt88ESQTGRgbj7UgH1gkpPiC730nflZpgX1ramBd
k1pUyeGZCR+BVSNuSQ/X+maUXfkw+XFyB58R9sHotrvaCb0rbXA43ab62UwNubaG9gpqxZ3PLhFg
WbfKOA12xTCEuwq9v6HV9Tp11EPQWy9kc8glPdrVmOfFwp80iSC50NiWD4j0g/y1K1F/Bqp+Jn7+
fo4mXPSTPCHK/oi5xaapxqaIxZyc1oI9OS7h4MkKcIpbkd1fk6UYbybNbmBRC4RmpTYsPcQ3K4T9
zAiQsCwyGTzmsHAOGIhHfEGGfjCyepcZvX2eIvVsqHbV54kEN2Z91lvszYV1O/MAho4DPlex8WBL
IoLcaudwW5GMKTaN559LLyo3SYmEt8wx/AApLO9FD3NJG2DP9TtEpMDQ+VtNGkKK6LIrHztPqtt7
VOcbTZXd2pYJFSg9IP4CB4WU6a9Ha1z3oX7TpvcxwZGkDcRnZq643OKSxBHCQqeuDbcRib1AFPyN
71OMw1fACVCkb30VqCNF97WaErWkkkcZ6DbPqpvsTRYR19c39ROavseyIVizyuy7MqlIaiqjY9g8
1AfVWauhLK56s3uoY6R2LKvAkqNhMg3/rS0SOl/PXmfecKGhBEzG+qUcowfZBE+lnVwqVhdgowgh
ilcE8CwJCuzDFSiOYBXo5hu9x0AIqHFPjV0tA8f+YOtwJ5ibfoZUZC1ts0d3MG4FuD0kGM19VubN
rvfhepyCFkdGa6zSAbOcCGxnCbBw28vmduKwwats6FixmF+pcNjp6bj2TdIV0lzcY1Ha+cO0gpRy
6oPkPM5Yam1kmlRbZA9ZoJJoHOSTatVymMSLX04PThL6yMK6bU1iCy4MUhJlTYxU75aszOI7K5rf
p3HTFeFdVDmf8fmu4ljutci7NULrecrMa9kYSDc0yJglKBME+2BOQmWsIwvM/eTwLPsz0WMy+6eI
KE47iV+GoWPL33nmqizjlzoUd4HtF2e7RwADTJRE5cC+s+IJ4iWf9mG0p/VUpeHaU+RPmuZwGHOu
1tjoL4KagU1uEGXnTTtS3quFTxe3hjHmLW2fJMPGCNgMjrm342e9VETfHOweyElNxiZWOeZEoE1w
4Atr5wfOIyNxnQlDmOzKsL4IfNnQRADQKgjnWYdaQ9QMSud1M5aPYIIIKXPKRycBtcoEB3W5S06X
qWsaZvnhs9U2V2bNm12VFIwE1VU6ogmvODV6sEYK9KGfp029Jc5GrG9Muz0hJl8Vk51vUxUcHeVc
KJEfXEwBCro4eUKHNNdewkTDIGCfZY9KxS8+8mBOKTAjc/oozay96S3nw+AIjhBDucg+fKggiGNI
pMbfE+iq38RO0S2qOQOpVUZ9hZ5zS2UJ8y1VBpUtGffDYB6YbeGxL81Dps8uei/5WDja57YMUXti
sluasvhcmVSLEKAReITDqtA5NaL8BZPgZZ5rkOjRNnb1eNsY75mSlLCDl+MySLQjgY0w1dqdFc5O
IsVsr4RLsdCCYFsZwQXiq1Uc1FfkjPTcCQ1GETiujvcoYIHm0CAw50XFQ1p7sAdMjwgm47oJjYNE
mDiYNjV6cOlLyK5aUZ1tTb9LM38z+v4uQqFDNYLEpSVTyfEvSETaFVB/YNOCADYrlI9SOQcRiHWm
zIvRDwG6NzUcE5j+O46HbB2lzjHMsmCj8ukuDHxiRBOkkvGrKa6NiNQ5uzsUs6G2xrlqtfncvJfp
qiu5vN3evQdO8+y4INzLkdkkH+udxodG9omLpEiHPqZvMPLyy2ZH3fFlagLIvGS8xuS0Tsn4S8Nr
aD+r0DXOdd2+6BY2kKEl19ptt6mc0RsTGBViFHrb4qTpbBi673qyHlllDmf0y/b5LzAWm5XrP++F
v0gaT8VPOuF/LCN5ia9tsP0LAy76YEc3wZq6dLRf22DrF9sVdLS/x2FjSpTCmleJDl2yhSbk100i
wn7GZfMqW7fQuPwpUT47nB+6YCqgWRTJ8n3eTPLP94MZXzN8UjEzfcc1S9j0aPrUpbakT0nANwK8
GYG3HYu521Ns0H27iG+UoxHMTDfpxY9FUBKaMCVQCVtsuZ5+C0Bl05rxc6YVx1C/deO32CIqwiqd
y7gPLzOTsz+QLneZ2jE2y8AtVNbJ12V6llyhBz+J+mMQO5KSNJV7RzbETQQt6m9cO+B+zsx1pr2q
Zb/2cvNz41nluUgG/UAxgHjB3w+jnM88F56HvGzp8Pxmn1o0mGZ4zEeJRSqqzgQm2CsbY/dCWO20
I3AWU7wwyoVD5GqaopYw2oXpFfdjVKw7Y9qnDmHQrrEuMuMNEPLRkgQP932zGozeve4ypo9sOPAo
zXX5xNRcz06yq4zbd+V2mgiElWlV1/s4oP0d4F/V2kti6xBnx+LDJLRybYe9T45URNJ8WNuLLNjX
Y18fZSLtU2/kHUixIgXM6eqotDOKf7uotKXpUYSJxLvwIQSsK6+j8iN3l5/C2BUa22BUdu7KiId9
QWb4QrlTvtJTVDXgJty7lFhY8vByfeM3DnrCsms+Rf7YP7V2U3+s7epZsbbblVkOXzsnJTArWPWM
2oX3/8k7k+RIjvw7X6UvEGUeHvM2I2fMQGHchGGoinkePba6iLbSUjpCS/fSFyCLrEKTRaOWf25I
a2sjEsjMcP8N730vJtPYNhVjfgd8LLnC5g7DhHbMUVIc2qk5jl4XwI1kC6e7ib7qWMGxnDJ8e8S/
r896djCC+SlwerFxCvPUQVJReawAZVRrPvaZ9IgGHFfqktJEcnm7LSIxEcIyhO2hQg14W9RS9wMx
8D0ilW5rBxBBNqAPDjmR7mA6ljArl83iNS6r9MFcsq6QUmqfp/cALHPJwnKWVKyAeKxsyckCu7NE
i7wHy5QerrySNFCnszQsT8BV2B0Szt0b4vS//uDwV7Uex8mfn5QnLBDYTu///b+e//XnyQHLkfTt
qPQ+mTbqbc41VEs/WLvdT0CVLGSA78fhosb/tqJmYsj/o5ONgVtJiN9FFzoDQ4cWzkMCBQkQHf/f
WiB8OCgdNtMuY0zM3azE5cf9QWDOnWsTYH+AkKkd+qxKdwwqyHXKyC367l36g2H5L1DB7wfZvBiA
ZoC/vBIv9VHgASuQMxa1BoHJsofuaeAt8TvZGsEG0INxHhdJh8xDNsArptKZLrvQtbsN8dJwblRU
vmJoyl8b+i/ytWNiPVwC1q9KI6nvEg61MxEltkVGOQ3pyrFArkNU0gERmcpdt2EO/5PmsyL4NBqd
+3pKsEf1OHBwTXo5ezjTKjHSuJlJanqgC5icmWFFN6ItmVXlURNhKY66uscvNGExZc7YEzFa4CZa
1WFZQBZJKIhaz2VmSQyvy1ihsmgQyASZN1ZGAw3pB3k0rNe4OhTCzgRTst47TWqbxYYzNsZ5HqsI
+XWUaXKVQJxinRs7IXQq11F3Blq4J8h114tCYJ9O5XgfzzpxIkvPyURxKHCSJg7239S7sUtdPWSZ
4MSSFPutlM7GmDz8rkM1waqfZkxpMpYXjLq1WzPTdOW7xCmYNE7RJd8XJi2VjG1t72hBIyguiWxK
VGO/UCEijZmCUHEc2y7T4AF2MnkrMrzpHWpEaly8Tt2I4IBNtKnhYk0H79UeLGJ/VGnHWFx1vGvh
kE+QC6esX7OcVxeTwWW2csLM8nVqZp2AFNKjobrMI0M/hsXXBjksNJeBs2QZTJ52cOdAYLpLLa/f
0dukmPDH5gk9U3lnEHJ0W1aIx3djxuCLeU8VP2lkrz+4WaxdCaFt50VCB8QnnL+oVlZvyBokosUa
bR+Uftv8qjeqzRnpBcZe9V4dbjiXTQ3JZRk9V7LsdiyWvcuefhFbgVLU4Hn5XBiteaIAN0iCpRMg
AJ60p/YvBLQftSW4DYnOITUSdr1joDX8scSpSLpv2srsDlYKWb9qB+dYKVM/sZQQf/HkftTq8VIG
Sy7WjKbE5fgxTdI1Zyg6Q9Qd2rGVayLxeGJ6Nz4glPicEy+w/flB8bF4W15OUlSyX1lEZx/ZpI5w
BtNNJM9ZFrMR9IaQ1tkJN/8fr4J2bTnykVTby2/xnTZnznNrKJOgx9mXY//TOIri0vqrv0X+0R/D
YQ2T3rEY9S1cj+9fBqQhJhD2cwcsqTopvqSzrWx7SLamNbQn6G2qXTIkBYjBasZYjuQgylHlQ13m
QBolm4oynI79wD6UUBX7plF6shcdtjkDy4NhtItFMu6vLDGB4AldqEM6nnT4X/bZz9+wP/jCGQab
TsdZqCLYmH78S0JiohvQPt0hgku+0tJEW+chupjKyP5KHP5HL0XdviDg6RdQ+v74Ui3KVVLKFMZ7
r233tlu/5nVDVHGlPfz8b5LL2//jlWTzBbPZ7rNeRT3GDfz9x8OUf4xqGzEsByLu82YCkjwL+xg5
EqCaw2di6E5O2ymGY1BLe2OEkMoKK9doGmx7a8zm86w5xplV1u5BKC06pKoiCi9OgYuERe+XgzMA
Eu2gELSd41sBkwlcFuF9R7QOc3SCUbjpzb//DJkokIWD4czmjPiwmbarIRsxtbQHAtu7ne4yUHK0
UPuLg+EPPif2nIv8gSKGf334cjtR3kunz/AQ1xXEvIW6OCtrnTOW/PunnYlq1UJLxPdBestv8t3T
SoxtIxNFnyH6nnBY8oN2xsK+lUPfbn7+nfi4buf48Zwl0JMu1EYM+OHLl9de2DCKqw/MMUseRFL1
WoZtR2ucauSoLj1hmfc7Em3KfZ7h0/35y//Be0rRpwsSQjF78Kj9+JcaMovmtKtIvkkIFnQtGDdT
ZJNF5FnVLy/1D5hlLGvvP6/Qf5H4nIe9+vf/LH5Soy8/5VuNzjgDo6WDYnRRkS5Snt/HGbhgcdkT
/vXrvv+byEd+gi/Ajp2UtuU8dO3f5hkYN1FrmBh2CMYguYpz5W/Ycjj0PhxTtkn7gMiH54x/vdPE
v//6252VdBDj0Ihl07BnTRYRe9l04OAjslE12KkTO247D4nRxN0/TtlhklKxfcZs3thgNEsJ9cjQ
ZbejCedCZYC4LqGurtjf75D4rAerXLYppOMI/ZY8+ENoJKdp6eztwUN62IwsvmugF2PdPE1iOlGt
XZ5oxDVD/GnQ4oTtNbLEB8woG8bq3SrUiUDNAzgHUeK+xmxA2dKcAcbP/XnGGwqz7OiWw3NmdScd
QRiHTKoRAMuMp02zbwPYwkQknLsJAT9VCLODGINlojyzP1MFjEqz8XMPEIpXbiwP/p4sISIGifD8
mjTcNRfiA3kEd0XlXJGbRGgmeNzA0fRV7ABDCHl0gdnN16Kiny69cVoLUWwKr38dLfV5jPsvbdFJ
8MksXczKONgF0Q9lGWxi2OQoEwBSax3wb0+Or0Qd6thqkhdwUleangF9mZoTog+h3GrG2gNrtOK6
MLkCZHDwqK1Pi1E/TkBTdta0RFyAAqTTd2zQegGJ9GRL+4HDxsTMgnLX5Zbui1LbTV5vHco4hfHW
kV6tj9hc1LITrhVAQMs5dmYlUWnk8GIk8AS2cP0qWGxcnt2RljlU7P/KFvaiMYZ7pER7mpszo/dg
qPD+MktCFQHk5dWuPXZcPe9Y2BQRarF8B+dkcSu2V3kWv9S5h73Ryrc61yJaX8U8a6fDsvCJ7122
7eJ6KPXXtgQYG1egBGVWXUWSzy2r9EfJepXp/Oytp0h/6YcW6/CEiKC1mhuPrmcbG7KAlORAAcS1
srK84Aqu0gsO+4dxLnpysPV0VYblqSjK88nJUaLhiFwZkx7dE7NVML92tF1pkEPOFASZc/s1NhdV
GxLuVaLTZnXtfelk+wZi4lYLEEdHBasislUXvBUshlxH+MxXGNmunV5ngeWtpmY8z7OG/TMd3ykm
vuLEVLECwuBFO8Ixat8zeBC7VoZng6p1FG2WhLqkUy3X7NJRapprBuT5leoQgRS2nm+tPg62XZwQ
/uaYw7pPvWDtphjHaH8SuPgIqBXoPpZMrbuKp/ApVNZFWiaMeAjXQ0ABhjDVQmigHRmRWIfjyI42
bZdazNLsdFOJnIa4Lq01Pf7RBAW8ZpNTkJWr7iIdNqmIwLHHAjJsUKuTuU825hyfooTlAyqti6TN
rDU7XpYVJKkwQd2ErTy1SiKiPZgWXqeDwqpUtCFw8LY26sfcy3q/Kapuq/VDurJAnN6miX4fGs5V
XY+IjXTdb6LxxMwwzBkp4ZjSfC4bDN0ALakf6nqbsaMjBz1YDwh69Tm3ifmz97lRtORamNAnTaIJ
iFUvtm52K2UcnSSde6VlvU0GH+8F9rtqVaaM61oTRvfYkGZWBSk0IpCaY2Rftm7ZkCY9XWe1DlMi
yhVrRqNf4I0eLKQ5X7FTuiBFa1nHiOe+T0Zf6zgrEQxNJ4TOwcdsQawVAj2lzQnl5yEedSAPb6Jt
ik1GMv3ansS9Ng57dJn3paExpHPcV63XFFnPbb8f7GGimNSdPTbwC+Qf7J9ATsCJQULRjBW8b9Yo
7mBc5Ggf1xmpuUEvdzVkln1XIM7U4xiKc5Ss55L8t7zW+NWL8C12TXRX5SX0SSBvAr5+Xusek0Z0
EBUlj1+FQbXtMhNXQOG+oLYEBlMhC9GHQ5JP1WXWVEwjEQ2szcWAzUoYK/W7KXuxZw/4tJ1xugwW
43awWLgX2iQjW06PQEQvNj5v8ui+Isrcj4sBnPYcYQ2e8Gwxhwe4xMPFLj6nhbkd2U+5Urtr3i3l
eMvHxWSexgnhCfjOQ/znxmJEx0/HcIWQahuPOpck4ujFth666sWq7Am0Uzz4ajG397zIGgLGaRRA
2Q8WCzwm/Eta+22wmONZmeWEHmLmtIz40pjLBwYrJ5HXTpumR5A2OVdOGPPl1ciaG1tv1etmupnh
byHo2kezdhHrJLBWqXkZWa2+Kk1MF1QOZ4qteTsSBhRH28kgARu86L4ggmEVKHHuFkLfyia7BDBe
H95Lm39CEUeR9edF3M2///cr8cT/57/9dCO1bHZ+L+EYlUosP6b9Kyfz9xKOwbpEDODRvFLH/TZm
9T4xRhXMUvHnMIl995z9tpJiBsFshXnl8mNN+2+tpBb9+A+N5mJuY9YgGQRLWlvng4jXLIx5FCgE
9s3Y5jb6AW3yroj3WhRlCZO6Np/ZngShUV3U/URbzYSFMqUYO+O5LoIZRGSW7Qxh17eTDL1m66my
2CbvZrPk3XiWsvIAl4cZzX43ps3vJjXOAdjjhP+w9J2oCbFWCPO8mBKBlAklhFqrVHrDvnbt4rkO
tWmCi4R8nfvVC8rroOEgxUKXak+wTSptndE4oVzKMvZqfRsme0R/wGTrOUwlozsiw/wa3Yfhu4XC
eGMUBXTgDFxEAkfW95IUlebQyibyRZglhZ/YHcueeEbgVFbIyX/pUP8BT8fi5/3zp2PfE9/NV/8D
Z2D5j749DuiU+bKJxSOsC77mv3c0zntgtw6qbWlNFqDat60DId9EFdN0ou36hSbwbUOrW5886G70
IPwwgoz5Av+NjgbUwYfnwRGAyAlGNtBJ89gtrtLvO5pEFSQFpA17saKuSPBIcktux2CBSY/UtZ6f
IxL5rKtgRjgaRc5uEAhaEdQEZ6Weg82KpBZd4eKBqxg6VedxETuL3srRFku8mpikJa05ss5snfJs
CKvsLa6bEGb04BrNAXFG9wJKnoiHFlnwrdEMfUNGtzPdTeBX2M3pc5/fkLkDAFBEudasXUxC9UGZ
DSvaxM7kudFkbvg5dkd5WfVeWF4gAKLIdwGYz9vmnbmm9So6NJ4TML7zQqhsuuwRTKnRk+dNcu6+
09tCbBvEgC1Qt37Bu02zch+HBfnmGRVVt7mA4MZ3JpwK2uLaC2JIcV4wZ/mDXdaECunpeFFV6ecs
PRkn1KCl2e+0GfAAnN3wOq9m2LBZeaB0dpzUWXBULFc996xt6mKDE1Z/yAY1b+Gr57H2qt/GUc1w
Q3c2KTyTIPLoonrzLhysuN8w1d9ZcXZCNjIiPlJQqnHPphyoFwRGmwwVW54NMglXmrOpKrv6ahBB
ZJ+Zce/ekMZ8YpdAVvJdiSIS0FnfEuQbSvfedpuDyuUxy540pVGeaLONvJsAJ8C2gdDWtXrrS/jm
vaHIf7mWdDCmAlq7CpeooHzMwQE59/ZQ0y+2SEjz4WjBAqdaNh/TsHUGyjdymKOsq1/1rOhugzKj
cQgKGxb3kt3cxQOtIMtr88Yj3Pbhv/49/ZuPAmf3Tw6jFSb0a3iOz//S/nX3f/8HF/bnf//3/g8H
Lz/8xG8nlfMJC54EGvE+SlwmXt8ubgCP+CU4KSAuQ+z4bj8qPgF3XJAnrs5Ggg3qb7MXdqrLLpOL
exnpIlL5Wxf3Mm77fkCMq1i3Ad6wizB0wRLkx3OqUGgZZDNPe0XmGbsqtSYq+jKNp4xpfbdvepII
vnvv/mhP+nHYs7wkwhUiHvFy6Aw9f3zJpHOMRjTNhErSyRDG99y0VuRtm8p6mCcXdZwbik2ewsbS
So2WLGgQO6Tl8Etl+acci/+wLy+/iAuYjH/CmrCcD6NIEgrHuErEtOiPh7Xbdt01W4tiq4/CuIVK
/lITV3gMNKc6hTmSk32WqUdCDheR7mzvMlchqggS07fwdRDvQTJG5hrluhvaxseuhARlLvUHodpp
JefKwRlCtMc86rbPSMnaM42CvsjubmONZFgENr2lQ9oXXNjyGVpgcjazOocsJkW01zS3OP7FJ/Gf
RRt/Os5tk7oRs95HHg7O5NZODci7gVckO0NnXON6aHKSqIeendfklkhgzIlZ0ymEjbszE1zVsT7m
n3sKvF9qmT/9PD6ukpaPwyOszxboqwSfzI/fC6Pr23iMG7UPyeVbx6VNn6IDVvv5H70MQX/8xgOA
MICrLCNHHsiFN//9zUyswmAwyEAyTx4Iw7p6ZM7TdRZ+7NpwtJWnly27qSROFTbpzO6IyULPzX3i
oUS3PPzaq8l1wTPoLIme4gbzL9tbctg3QSqHuy7KM5t8QaFO+8poTsIuEq+procvrV6R7zTDOyeL
hyi2GyPxGCKYTlQ9iiSGSK3zMAzr0Q3SgzG5xY3Ky7LxTanV26JqOqT+bNkCX6ki0ValxuptceWR
d8kGNUN7OcfZulf4uEvIDJZfdF6frUTudfvYUOBS4G2h4PdKhbAG39RpEdU63F9mnQ+ltPob2Ygi
++V5/weUqIvo7yclKrfCLn7+afu2/IRvt4C1sA45+f7TZmsiG8TnahnSgXS1ZBN8m8Abn969bhju
uCTQIv5+C0hJ+Yvwj5E+lwNbo7/FJoGs8+GpAG1EHe1YPBuIdbB7/vhUjImGw9VNsmNHEwTb6bos
7GTbRkW2CuLa3Xhzc5tn49cS89iq1mSBwN3eAhGB345IpRuccqM7nHsCg5MPav7CMEY4AjVaLHgs
V8aAIQW4w6YwxYWyjINy27PeJcfLDawvHrYZty89Bln5o+GEJ2QXvJIMeaYnxRvluo4tCDzUpMln
J7GhHCJuzxTpTdKuyRaqIVbpon4Jo8w8c+sQbJ5AMhNWmEqUuc7i9rQP4OZJF11FG+WnMijAvJLZ
tmpInNmWqQmIMIvVupN97LN0sxC+IQ1sov4c5R8yGAvXDAxAwrcG09vWMQU5rvlg3ZM1srYHkOr8
msk2aQyquMIBat98parLN24Amhcl/RdSLNhbVzbBSmifgRO2W+F1nwuFdF4w7jt6AO82qRpOjMoj
m2+oGZnl/VPpxa8ilhU7/DAC5I02UOETYO5d3FluKg6aDoXSSddRb/MCLbmOY1VoJ2ZSvhUxvisG
CqBcFfleWlfPmyBDZtiZ4CjMaPhi5fW2FuIBYX6z0VwChAUTtFWX6wobxpzuJZxnAk+JiE5KscPc
sINVQ5IBc30/snpCcCp0RrnA05ebuk54Xmy9OCJrfULCwi11R43dSZtRSxcvjIef6k6DKp5ERzUr
QDKTfuVG+rVR6G+JnO/0ypGHxB3Fqve6V5tB2NYw8tZvbOsmaLovTlZczrWe7sKY6Kh5iin5hxaC
TuDJNd3TmwiN08IG8T5FhBJZWhpeTxCT44hkMgs8DpR7cAuhoWU7Rpvheu7Z6DpWLPdtwsh5VjAM
LKvNzjxSlRhWp1j8RHrXqFJthqQ6b6V135kT/M7TvAk3dSer/aTrV8lId2b0PeuifRvYPSP/JNgh
QDvlLT4RrXFKg4D/baq/mp32oGF3IuRCBntSey4n1XTXjZcizBpdIhUG7Keh0EDJA45vxyXGoiIM
0bPjy9ZxHk0wJeQFPilD3aVRuzUFBvXaJPK7Zx4rCl+zyRjEdE2StPmkY0bzDdHHxD3DoWgmLqGq
ILCs67ULL8DI1eUEBFJkiGPWgaJki/g6FCDOkoQRodlr2now+ECjsLbXLeTRAy3nKy7DvUUS/HEc
unKHbiPaV3l1HzXaaySaW8eOIb7FwbjRqvQtHYBq9il5hgH+qDga2BwlclijZQfnybHoJ0XGJiQC
Bl0V6Y3BMm3naDHR1io6AQEgfSwA0QogRoyWdKoPqBjaDc41FGkgKNd5O16pLMh2oL9eSF3DnqCj
pWvsGzIlMSRIchyglRtbI9PuwyQ/tfXpELj5kYg9MBjSQo9WiJO8dBCtDeUtYSVqaWY5/grxMBZo
2eYofcKYddlY+r2VkxnhluMZ6cFf7LHtfDFpxF8Fmo7rA3oHVoPQp9ITK0OriEQM4iuUeORuujRl
hRlRAVqIqZ71Sb9rG+bdsWfnG8Z8Zw5FiTazZxtTn7+KVSBrgoKPyIdi8Nhqudj0Xf4wwa5loDCW
uwhLzCrSiMGrjHQXuAYeBiXEpiMTZA0UsGfW0MpHI4pOELV4G0rcikDK8ogH+XUs3PvQqrGTPmc2
EVN89uCaA/ts7MOdVnp3ddmdJvPAeUSH2ZdiXaDPrhVdrcoKEjkmaqWgWsC41WPpFHvoo8/FVBy7
rtySSsyCaT6EmbcfNJ05tVscrNA+Sa0xXIUthpOC59CVE8s+d3j2hvkEfsiwS8f2jlyR0lcRaEB3
+IK75jxAakI2W71G4oj4HI6L0K9nHGxOa59wcYwb1IIEcxhi2sa0/HlTPCpSxPCpbbQpY1k749Or
8JCZzWEk4tKfeha5xsRKaW7QVztG4rxA3CqoocK3pNfyNc0y3XOv3sy0614dRBq+KsyOVErIDEE1
eVjn3sy2fK5ERUB6Wd82MwJMMm4PAbm/EPgw9gzZNbrvbJsGEiPn+CyDyUDVBOfBiEsCxPSQXcsg
y00HBxd9k7jClXyvKwaRgmAcyr0IHG/VMN5Hl2m0OSrDsHzQJ7Fx4+UYblomCTGE1fhrYYsd3tgX
0N13jTduasd4qVmuSTiynv0QWhmvFaa7SEbwFojG8eRVqyf3jpj9xCA0sEtfk0A7qaW1m122oA1h
JLE5NKyXklWfk1w/deI0SNwdxq51nkZsuNqROzgF+5+wB/SC7jMFJbG42njQhpBRF1giv5TTpjMJ
qZgM97JzkyMMoAvCbK9cob4uAcO92X8Z5HSedbnmDyLc26l2IRx8pG7CDSwmwSJD8JADK8ZGv84L
7EfFqHgNeRvowS6OLcRuycEGBOhrEotcN3Qp6fXE6HodGtc6R79aymxgPZNL4l/KG2rlx2hmgRua
gvFyIM5UZ+NO5+30La3u6UzZq1a12pP1h1SzMa5QUtxYqnxloqcfSzO4bNL2K4lI2Jic4BV646Yx
tTtNOq+xgeGaRzFejwkaUHMITvIK70EVoMjHQfigSfNhMvAk00l2uKAyhP05Rnx9iS3siCMj7eA4
K4+3YMqT/TBab3yWTJ44Z5cewE+cbqvDNsGP2B9rHIaboOi+Wgzi7xu9vpmRk66gdryRWMkVEvH1
c4TyJ90IfRbf6T708uve1c6JMteZKsnmjEHRFasEe1V43KODsbeN7sllG4gmNLhukgZ6qJAbRywd
RHgEpXSfF/YRjwGxx8TK4d3H2waQStsFlltuozmYCerMx7UTlP2hjrV7QFM7NvWnRZq81q57lisi
axvO7HXdz1ezPnyVVsD9H0Wvgw20QNX2YxBZ0A88QhBaYlj9kJdaaUnEFJ+VwsqZhhPuzYtaj89K
6d65mDFYc1rrfh5fBQ7Ldfuecj7nV7GMY5jVnnpJakffe/zxIuF/OF22x7FxM2VAuGXrvg5Tt0Hs
wZneDNukznFyE/okdVTQ3k3T9QfmuoD824dZyNPcmddexZ7fw2pgxAx5iTw8SgxnfhUHN2mmzlPN
eGAqt08b+9zqyq/UkWdD7uzsYDgviIXvRnEfhz1e6p44h1QA8Yy/jGCsZy5XvlzK9dZ5p0gavBrj
c2MRJ6PWOBktcNZ5HR/0JXggFuOhDsOLUcufSDxi/+0tZvhyfpgz9CBJnt6Bt2COWcI299RTOTfH
2bNRbybs7j3Z7tDH3hd2eUtmIll6nX3jyaalYnXcS7h/ZCtVlVGDxSqp71uCNGr9KHULu4lLzTs7
E7++uNOw3+zajAsjN9OHVhibdOQdCrvh3Kiyl7iE5qBGTfOLsZr43mnhGqndqxuH476UOhHpbnaZ
u73ye32Z8Tr6eY8ccJ1atrmyzdTmRjIIau1I8ylcboVZi6aTOfK8beY24sYJkGADScVH4t4x32Bx
096UxMGeahGAHkIhb6J6dLbGQMypm70bszsMlR4J8F1RdCe2Hhms2LP4VJrDuDc11r9az74qCKnt
tbjnnSbcVhlAQ4TSO2bBibfpk+IuTzIWqnX5ZjXoiBLHWWFOLE5r19hyEDlrso7CHXEI+VrTm4d+
1pgaEGhOrLtFLLP9VNatfejRjz+VkbfJAmyfoU18Zx60BveDIpE31dWWhMorBV3YnKFip6RW7YhK
RRDjjft8bj2qEWKTp9Fxj+5kXI0OsI1k0h/YRGN4Tcd91uu57zRd8DlKwvRC07kNM6r5Vd4O8dp9
X/MOTn/rOdprkSwYVS91qfer+ERv7HumP7dYZT1e0HjMY3MHD+A0D9Aq9n2zR/mCRGXS2oOthTQ5
ITboDOXH6BQH1xi/mOWwQWCUb9QQP6fKvnKY1ewTc6CMr8dHFFjPXFtQDEoLOGC17WeM5cNIxqlh
v1IguzwfzoNNFvNqbBUhWsNa6vWDFY2/Dov+AbOLZYrw57OLx0U4uFpAYX/u8Fl+wu+zC51NG3J8
3DRIAhkefJtgG5+A+0iWzL9CgX6fXchPcsl1EAwULAk7ih/36+r5XT1oMRFfBs6MuSE+/Y1dG7OO
/5hdwBZCPUtSBEtwsbzS9xM9lwOcwwgo9FDL6WzqsTW2Y/km5uGLXBDFtQ6op83MV2Va2iYsmMHl
k1h5WYbPVnfLVW3Gb/WMUcbyxFctVpMfcaitRy8XW0K4YF7Mkb2uyEEvbG9buW6MybojcShtL2u3
enat9jZwh6NECrgqaoLtMm1cYsnAPKQGt0Y3b2oFNdvuMRgIkWdfM8faI8y6nEX9ljQzqDyKel/Z
atFRu2eUKsVByJbmyGT9POB7WeABp3pBroOdT1+9lEjHLKRjLUi6qWgGdqnTnOO8qf3lhKd7PQBs
JbaXYOUoj2EoYjcg8i+5SEKui6CxEP2ErrHRPR2jYYqFmRDHZ5dGeZOW86uIgmetqZ9g1fp1WJO7
SOOmNPeF+JevEqDgrjWTt7kDL6JERZHnVteC/2jllNZt2lnXVhA9p4amb+NMfuXaPa3a6iJJh4lr
Hi542wY9Yk4n38eBAQmiGcWOAAhgLYr95tBd46C5rQLyDBNjp5R7zKMUvvdc+7ZX6CvTCp5CzPJo
2opnMVf3pMkQ5Mc8iXYPIWVJRKXVk+AYlc5rWCVkqzHbjYvgCyEmkV823Hnmkp1d30fgx6WTPbQp
nu4w0raMivrtkCtwGknRsrc3ToFoWmuLKqZYMhDh9/j8rWz3ehSHVoypiBTcxC8VaJSZXLsHIUjt
DuLuuU4I/2glYNRBTz4bmcIyJNw7FoBHsy9mv89JDalcxJS8kVpTnsI5va6ahR6Vlajj2uJloERk
GjJVfuVQkHdAQH32mh1MkrhZqS42t2pqbvqZ7042C8DfaeqeNgq4nDnPNF3exdwMF63pnRoJMwlr
1p5FUQBKoLVlNIV7jC8oRi5wTScTGYZrDSkUy0bl+CIvtFVjWIQ/JRg6UTNgtNd0P2rrhhbW0Hzb
rQyEbsFb5YS3TRGLdTK4d54XPomye45aqqdyaI8GlCbdNa8ZBem+hs6QAjT3LoDm3SR2e9OwzAdf
pb3m0XTASBdysvOPlrXF2mnNQzwSZVkJvdyA5bzSnInNJvPHZhlEFstIkk7uq9VUt4GduJtuGVuO
9pxsBZPMqQJ2udwNfVk+4FDeCjBPa3wmyE+4R7TlQiki8zVdrhiK8FvBnYNv52DVC5jezYhTXe4m
A/PQPuO64gF/Lpf7y+Ii87jQaCoPYrnhCGssfIwI26aBbYQ5FVIoF2Kx3IwQl6km5K7hynSXuzOP
vNtKM+7j5VaFhI/8drlprcx7xT/Y38JfDLfZch8PprNFMr8UO+m1AuHgW3b5uZjH83J0Rt/ukMZU
3QD1qSgfGlCicFwLGwDCfNua1UtXeZxo5GOuSBg97aZyBxHBL1p10rvqoLC9YAPguJhddTpMzJ8i
u7pe0hHWpLakJALYiN9iUkvd3mPNTwWUz3rEmMjN12pwFW9PyoDNgJ+bMX20UkGTUIWPZdQ8x0GD
IXBwyfXMpxtUwdExGSd319o5XwH2awdwsyGZY0G1I7/NuaZ8OUUlFJ2SGHCbVWO1QcwpaMHQ4qnG
Y7yLGE5iz1oZpKmv9Fp7nkHb+ElkgSish32TGtd2vx+H6EYlpxT/G5u51EpjyMAgsr3DaKAQ9M3A
eXqsV/SJgqIPJFo/y3W7OOmVjBvfy5p6G7tV4PNtSzaVbe+tOL9KTHtnx3lEroi2lZTpC22HQKvB
rNAWVPPBqspH3VhOiraUW02Jp3IabyJ7BHCi0q0jp89ZFSUH/PK3sQ34SbWDti5lfT3Vmnag0C5X
BM4iXwyGG7dI5pUbjvdTbelI4jNjHzt1s236GOBHHSY7vQwprFXBeLFIyXht+zMs1IFvEmV3Fo8k
lceVO637rMbQHcmrqkRmKrLGXvfxeFk5/YvRkUCGT9OnY0qPLl3qpuAtP4xDIU9YKFX+MBXOGjtv
7TNSfEYUeYFSqtpLtsRr1YkXTK/6lrOPyOAmzMjX08FhgE9Y55mnnh002JtuHh5ADSd+rZENq2Rz
AnTM2uZdd2gQh16RLf4ZWgrMsjx4SAyC7ZPczA6V0k48czjIkglArRVnWWE4e5xhCbHCs0O4BidY
Q9TGahDZ1q1md9UFrraaBg+9cErV7g6wpedKfTYaol1zpGkYkm97Nw1e4pnCn9dbAuOuQ/oxuLgw
oAeyhs56nbRmqzYJO8cquyqqFBpWbN7CajaPqYOTlmI4OzcCVLiZfhonsjofZHaZEYixjgPv8f+R
dybJkSNplr5KXwAhgGJQxbINNhuN87yB0Okk5nnGBeocdYBe9a573/eom/QHRkWFh1dmpMQ6JCU2
6QOdNED1H977XqS56NZH5QEfcMKeLpuoZbcJCKd1OU0lfEByB3SwzHl1DGLtSbbzy6jLy8iGGJSM
KiUuY34LkdWtonqkw0cnu89tTp3eGPjwJ8lNWDkk/NGAMjKgkZazmxyDGk9vYyXfR/rRg+32+ipu
zG/swUPPIY6RLCDxYHX2R570N5aL+o2DGH5wfFGBHdNGDbZW17tXUDnl1vCj+DgQ3cqLMbDInrpN
HpafTY5mxWLSvm5ymrcVwvX60Eb6btaiY+QU4zaBTbgpffOUtDTpXVrPXu1mN4ExyE3aC3TyQr3a
wYhStmn39KbI42xz8hoXwKpsLaqzmC3prMIPlsKfVgqhrneBOzW04lwLPEmJo4TnzPS3cVrt69jN
8SqMTAVridCQx2+jjAJEnhGkl2l5ahDJk7un3ZmiCFd6O8UrNY3xBYC2ZKdPen0ya5jlVSphUE1X
w5zc8Qnbe30IHzRhXnYkOLLZr2oWCOz4O9HeMD9Lye3mdib7JF6VWXI9BOM5CkLgTm5Eo4gfepW3
cXVgje6uOVG5dI0CFpiBerdIv41zFOx6NghI6+97CG5TMK5G96tIwK+cD1itw05wCYGTms1FtlX5
NfMLAEV+2CDWQLu+sZgrG5pYYqXHmypSHYYS8E1aljw7bHxvZTBm525czNax2NG/A2WKhbMC2oRV
wuEuIFaAIGoJ/qqZKbm6HNhzmuXzlv8S3pHROuEvyDdmxrk7ZP5VhJcFlxpD8wSA8+jMu6gvNo0Y
c9Rs6tJ2x7s45/cq/BBXpcWAupAiWbdDOHhRPz8J8WLBPzNluAFqdNQHjITK1ihuCAWvhTkueGz+
bXq0rZj4sSMnZVszidm2JoRvupOdklSenbk7QvvCF9APJFebxXXk9pSt5qmw0nVWW48zjPPJzkqv
Ivxy/dUz/Q26Q/tPubH34dsXAOJ//xkAYvkrfmsPnV909gKLkIkdNcyG39tDVtsSWzVjcmuxGv4u
xQQTzepPh1MlBeIbFJf/1R4aLp3j4g9EtOC6Ork7f6U9JPzj5/YQWCw9jIFYCrUL2uQ/toemm3cT
7jB1EIvA0bNsgtkZIPRPRetvC6d67N053hGvkZmI8ZKYDO84nZnJmoC3psgXkNT9gdVvlA1l4SH9
QCqCMA9TCwJn1rmhY56FhKxyGE2ZP8Ua1IAtQba81tKvaBObKMQGPReqWsW4Fc5l1KLgm2RpPjh5
MSEz1KHdezMMWuZCYB0oOmzRAH7SoypmgptSY+tqoDUbMxRVWyah3bPu27DjAuZSLJ9B3BfrWVHS
8z2ga2FqVFFJ1F3mf3JG6vO6nzgIoiBdG1Y4QctWVXw7Tv3k7+FME6gTyqm6HvmwDC9LCs6IeSZC
RNfC9mXsrYCVVjGbJ7bBbuTxA3VNYI16pxOBZGISHQwZfge0qGe4O1rnMinw7q/q0gLJ6LdztK0z
DnNUo3kOLZIO2XXgD+IguDDc9DWvcRbhWBOrcbAhftnvjLNqw+vTFoYXV91FH48+pz12QBNTLsSz
LF5rEbE9RWzuBetz6tmClXYrG9z05nMQu8axdooSy03Lz0cau3bo3ubIfy/brD2VcWKudLen12T3
swpnJnmxc1QwyApgSMPBiFjXZ268L7LhHWLHa1yol6g1P0Zbp7qbAmtfsXJzaRU7cnk5kj1jyTXU
R4MZ7FDWu0Gkjyov3S3H2fKt2kQHCMqwzEDTFpNDkEeyWI0No4hBOhdjnNDWZSs5M7h0zTg/Z1YH
27sLLtpMEQATGcHWCMGdN4ByDmbP1N0EO1tziZZl01wSLrFuG+ClWpOnF30bhkyNs+AY1swMWP3X
+9IFw+sjTWLh7eDOAhXRZOhKc6WuMNBQ9+cuvjFzg6foQPoXUbFz/qC7KHotmt+TzejQ8wGqkGQR
3zqg2+g9mMS3ldFtdGbjeRif8qZ8aJW5Lxr6kBa5UZ60N4kVHtKkhGrRGJ99geSPe/curdjKztiQ
0ZQ5Xl/75zbrecRCw3P7UpxqYqQPbqHd80sXQ/2SROqiA+sztiMPeEkeAaAh3EEsEG77tD466XAr
qwciQ7Zj4VxMdYAYvzaufakf9RmaBpynJBfkd/lY3tszqzYSFZ3rkKa/H8ppN0/59OAUJilR2rQF
J3tKcibj1BZwO7DsoNUkEJHVCZhUYg5qDZ2wPfQsmyO6VQOu3TQN3cqwGE2GjsM02dArWAKVRX2M
EzFJtk0TMd0BfzkSSwxxRbso7TCGhDk6oGvdW2eU5WJs2mA+MzZOQ9KDWy7XV3SvOy/EJl4ZpbYL
4PQRKp19x2K6qdL6Xmr1i8P3HbbPjH6ZeoCJtIR+GBrUxWZIz5R2dEutvg4nZC6AIOp4QF+Y83ql
r31/y/IDUrTgaxK1vJGd2llVsTZyhM8DInKh0a6pFuhpR269KWL8rOnF3E9bh/yiQL8kOXlDMWNX
df9Zs5BnTLATVHjoauR+qKtqo76HpfHat+0qUw96QtRbsI11grC1Fbjl06BHg9dUWfuMhupSUx7o
66Owp4ssviBabiMWajVqNl3CrAF8/ERhiIHWxa3Hq6RP4s2ONGtgZdzDdLYBOnPwhYG+Tgx65zX4
MUtu6h7ebrXgQDatoxVnxviCafpEyomHjo7VX2I2zbDF89icWWcPT9LCTkd9PWvfo9TO7zVpUeTk
5iTe21RD0t0MlSc7TU1nzLsTfZsp/XGjWfNzjhFQ8XyPizYmHnCh/jCz/QdKWq7IPygZMfzAmpO4
sxnALpT1P15sdtMNuLUGFyo5vGSVI0hvOHD3reXT8akw55Af9DUkOeNX6ezfoPJxqA7++Vz8Mgj/
4//+2//4n3/mql/+ht8KH0wjpHmRBGxKNHMSxeoPc3FIDgyjoeD8KjL9TdOn/4JFCrEov50KB73d
74WP+sWGM8FnibvWdfBm/ZXChyH7z88HgWb4vhbLi8Xs/mfQTOpao9Xhrz1ETi72aiRsiTctRE03
hrY4VWODf09khrMfDCOxPV6k+oP+0d4aOZXNpjIL+Wno/UCeEgUW0mWo8QV6G6Rsa3Q0ITRrIoC+
OzCE3izMxDMDmJnLwrQidZfEHZ0LWcY0iNlcFvWmHmfSZkyIEwhi2Bw9wWBKdwFBmZx/X+9Hr6Ou
xre/vDeBPT83X+/SiDIvWamvd4z8+b5ig+0e6ikW7wEtDxWP1eT39vKKqq+3tVxe3BSmxjlJGSxv
5683u0yrDp3R1xtfovI911/nQLMcCf3X6ZB+nRS90Dg1WkNwgHydJc7XuVIsR8wIPQuw/tfJk1SM
ndtp1m4VUPYtuzf+6QzXV2PpXo+BHhyIsSoPzmRjuK5oMT3RRteitnZTMe5FNKMcqIPPJCqtjUpe
W9iJSmbEFxjJ5Zw1G1qro8AREkzWwakg4oydjDzXHW56zdnLAMRqWpSXkKXOwM0ofYYHjlmTigLD
uB+5H+YciYMVV3dGaz9nY3I/OrpH1oZXl+1RkRPa048xKiyB71SjCebXVRdBPpPkGz7MkzhNuljy
nth7ks/YehBX2kNka/R4sngNJQz9oewvzDG8duqSC9/k/Ga+nMx7sLSnIMsv9VbbEOShXQejAKsv
AYvwwJ4iq7jTpLBOlTMc7TbaE1WFXENj/Bkpba2may1xuHTCbI/x7sn3CR8gs2iH1fvBWAahkdUC
7u0OgRM/cwCvWlT4fXJVCQQ6uQnZWPOHedX4GjIlFR2zGdziwpBYwyZgayiACnR5uVamuqqlOBYE
WK+j7jks0odshNvAdFbLLwzuG0ngSlQsV/zkjntI6kRMITUq5/wSDxa1SKUxmI4RtpUHk9L3pmV2
ZifWSwrbN0N5CJ2pf9Srhy5gDV4jG0rN/A3CCmBmVz8wKL8IGHN5PRieXOPdS9UiGkNDuglrPfH8
ZeOQND2DwojBb11fB512oMSHgZ+jXdFT3hfnIbFZ0/cOFbTTUVCSNTs9xKPNQraHi+yW6GrIT7iW
xqK4nQKvbctCJ/Y5I19Q01/jtGGM25L54PiHgBiodRBPybpIuDlDG8lJ5aILAxH2OIQ95aOeAiNP
X0QfXOujXzDu8F2P3LKbqG7fhjp870zVPTUWUxaKQ76LGZUrSRePzoChbbLDoywZAKMa5PIUJVNv
UUOpMp16IdxvxoRsV6NaV2l1YDEUdIsB860uKms9hXm7Jgt2QkHg3ySRvGvKclqNkB/XEzLp1xrz
qG8HLyXf4MbJqFgzkflrLW6bbNfqKHWrsVsbE8wZXABELyBfzNBEOc1FEbPU0xyaoSHVtI+edMPQ
KLb4ItDspBeBPdxH0t+wEI08PwCVkAyoT1rDHy9L046g6uHWtsD9LwY6qBv2cAKCiNeUWBV7gyYW
6kBC6nx4RUN1zrXgnNnPo+hefR3NfoTKrCj0kxHFxaWPYH/t1ktRKIjEmn2I0mXuXjJ6fpCMZjxt
SA9xGLQ8QSQKGRH6QNBo426Oa7UuuvjD1heR0bQpK3vREJAYjurlw7BGpEPGuHwzRyN7q+3CwtFm
XI9wGLy2NBgtIk9DtJ3xdtHZHVObKZcfv5jCrI+1tthjYPZohrEiHSKlZQGTMg3g6C1y5qsDLSy4
i3ZqVmngeKEvHvTY9woLwL+PfA8lJU1erReP7pSfbTdvNhbBB1Vcsq5zRk/Jow+PdYVwmzQwFjLJ
PCMPme2GBUzxit3vErvfgyzbe/y/6qPNjXgjYTrvet8HaxLEG2N5slj4bBJEGQ9BTP7ZHGAhCmWx
TWXgvMWmdtPrPUwMg2nWZB4SkT6MSwaBFlvXcqzIMW7TG+ZN+ppP5ioTDWT08sqfyEd2KuGR6Gdd
65kfROu6L9RFhfZ8IhqgdZgajx1kV8AwOqKzPLkwkfVeTfHc7Nu5SjehKVNPt8jJKNwqfsHlMtHJ
cLxlikALe7gWDhEuZp8+YI2WtF0khfaxdm+i9DjnBFh5YvGGhp9RYqyKoXSBCsi4RSIE3T22CYkT
DynIaOnEl4izViMSZyar3A4MPW0kj2XzYBbVOmlAx36kud6eJFHuAB3PhFKNTyoUr1mPB2dCjprr
WnpQSXg/q6rDFI1rEfspR8OMninTtpHRwcdA35Zn1r73tQcSnNYtsnyOyBz2l22QSkjTZ8/2SoX1
uQvzAd26zXZFJK913uPRBuN4krqG5kmOD6NRPhNWLZil1g8E7nRrF7EQGPxpJ1LGHpxH6xQnCwlR
wl0rAuvxBOhrLG4I3+wLpy0ZUwyOBzHMC7FXHcMkpi2wGPHrARuoWWO3xEygQPpXkzezRi7/0JX1
RmjqPjDUpVtybSBZGM9zqe6KSG4ZNd+pRMGvALcg0IYzqn2ddQ5MNM9B+TmbdHUey7/52WE/9lGj
NDPXGh+l/S/K/f9WztkGM7TF8CxxPOAM/GO5XyFUr6aycA7VFBINiIR+DW0t/Rdf5b9Ny/gqwJ7w
HdrkO8uvadoPJLIq1lSvNbE8JKn7LUwNuuYsK3Y5ILm/jTFogSn+SROx5BX/qwC+5a/4rYtwsPJI
/IQEmkFv0H8Yn+IZ4tllfopzAnULn/jvXYRlW9jYsZn/5A9lfApaktkpTBddLgbRv9RF4LD/Y5O5
9DaWoLvkwVs4j3986trZbcpBiGAZptVP5AF2p4LtGSNUX4WEQ05NBOFxqF6EHg+MXog4WYX2NBJz
zCBLMJ+JQIdD6+miTWxp9TuBdeYNnBKWdpXpqGcXmswVlQVSlpCkDDb/RsmVWSYo3b0iLKaHeuwo
nhMnYO0acKGvUl3rUsSvsr1WPQceENPOpkBjQpAmo3mBLcB/yissC/EMSRfdNImYaQcdlhddt4o1
oa5qXhsxGpUtJWRdrPAnGaan+cswdf4arIbLjHX4GrfOX6PX4WsMG3yNZEEfMZ7F2sOodvoa2+Zf
I9yq8BnnIpPhFI7l8vcm7KytjJ0QohYQXdsfnqx/MAL44gj86N91lo8HXKukgmD0/nNEX59LSjit
C46VK+5Lafjb2AShUTnb3EKU1Lnoy4NlLJmn9SY1ILyavb9PkjH+9dz4G4wEXDrwf/42//oi34cA
Kf7Xn40Flr/ltxdaMRaQwOzoupHNYdD+r7GA/MUyBO/TfyJcOAR+Q1MY9P6w71xOXMUdsojc/lMu
Z+i/AGrhFyG5gFmRf4m1xwv50wvNoa6zCeHVYgdK3iL/7h/VcmNWZ6QxSncfJxbhrSlF3PWUlTmV
Kwv0GBmwj7gDZ0+fAl73B7qPIp7kGokUEyxiL8Nu2cCX5Z5vlUk2Ujr4Uo6dk5bmBF28Svt6XtTE
ffJec7ThYnOy6nGYgi5Fh9PRTMS6Kt4ggzbYiRKSA9d13LuKZrLze4/y22bybok4W5WTrpZAgUwy
SR7CO/LbJ2LrNLazHv4qQEpDEiCNC6IUi3Sql2QcgE12GGljD0jWg54xLQBxwaEEjbstqEx1rcda
MEHOIpEXh6IJfHPT6JUerIcAiBVVtyyvq44VpRpwna+6SlFIGQGK1tXUi10zNHoG5JqFzCr0m35l
iFjnSCl5xzPXjhF/a9Mx8RPGu1Y29w+ge/J2m6Yde3TR9/ZLUzsJ2P16+M7pgK2s0hKvmRA80PkW
GiEuZR6fpihzz0McIzMPOTPjNYl2Jv4Oo7qlbeOHUwwWLq8YrUy7Nq3uYYh0G3h00Y3o34JWu5SN
2wtPYeguXbcf2KtGlYubeQbUVOfxN6zLjE79xHW/u5VW4jqpgo/OJTpuOwnbeS8dQzGOaJwST2TQ
y/eyNqtbQ9UYmuY0jHAqJM4YEeWD1xlbJbbnLiz7x+nLDF2mKYuCH169f3Dc/VwCLc8uu0LeKZSY
C+Dlj88uXLxOd2lhD3wT2AosvClcj86vhck/NaJ/mV1/PFT5MkiOFy8sdlyHh+qPXwbrpTuNaowP
pjuZR6PqWeXrqkOyFog7OWrfNFG3h0RPoXaEenPVZFLsnbRPbr6+3b/BmYqk90/O1Iv/+D//jm/6
7v/9+5+dqMvf8duJKn8xYYRyOLrMFvlQfj9R2T1TlUAwoDg2f4T94JBeCBOwdPmfJcWiWv6DABnk
t02qMGUVt+pfECC7Cy3kpxoJlTOHKi7Br8yYn2qkILDHaCpFfURfah15WS+xmEnP7GqM/+27nShn
axCuWbX7EhOj7k/HCiGMIqo8nSWD1zJc1B+YhctL30LDApbvJrOmp9QnbDFlFpj2I8mUhUWT709r
1bItnYJP362eHYS3ZMwrEwtZv9MBuYch/o4TKw2a8xaRRaYjwWlz8WRP6oz152yCqVoRh9ivHK0/
V3p7Oxb88Zodc7XTNf1Sm+QpTmNa+ESshWNtS5NelGzNnR32xyZzPwt9YI4kWCmjL0LO1R8WuX8w
x4AiiAPHIteh0/VaVu5e4c89m9z0AvUI1IKsOAh0yXPXbLNiOjQq47hiIUwPl7TUlUZAWiW0/CrW
D2HdnbuqcEkYzdChOpG9YoMtmXHVz9aAYCv04+PYOd9U05yow9Z2lGNzMfItTRjXzGMbVbs4Fs/O
JN+IGT5YDs5TdnWYeqXzUFZNsE0s+amNU7mCwkSEZLeIkQv1zeXUx8K2oHfKcfKi6TUW9aMc8Jva
wbH383jr5HO9bU0bVArhmVmefLN6Q/DzrhgmRml0jLGip4VxawABozyFIBYaIXoAKIdekNA2x/WR
qBOdIrlkVjLVD7n9AaTS8YTL/5tE/Zl8K9CRzXQumhF/bMcXM6b8qR80aJCpe2uztM4kjbmiBQ9z
i/GN5hwQJzvbSgS7MjGfXdbHXmkwOV0k15ZmPbcjpiI5ukcVdePKmcgIsFuaddLkL6ahIvWqJgir
KMtPp7SuGC2qdVzHx8auvnezugKJloIGzKs1cWqfReLmnlDlZiyBqMFrZRjIoKszprd64p7u4+6l
T+VHK4PPoMAYPc2oGWpr2Abt8DqEZFg7j0nAN8fMwE7N29HCbWarHGl7g7XN7Aoig0bYFawbJnlO
RnkKwvymiZhLaZZ10EJyvFLCFms9u3eD5tTxkI7CvA0l9cVQvdZBuBV+fB+BrWQXGqKxSzadH54M
NjdkasdvVCxbFWOpGYttJJGXh8zkAyNgkpH4Z+zk5lrv7T2PYgAVbvSStMEV6EabsncQ1vfZum4A
NqJmcuxvoDRPdWzjyym1AKEb8Y5NSnXBIdHtskDleALzZDuA+ttLMg932kS4QVVmzWMAKgtleXJO
JsAnLViwWI9PpqpuEV29DGrcy7q6qQP/uqnqBoooTVMQUKENTIaxudnEE61qFg7gM+0PwjYYzyzY
3DJKN76e8xo687tjxZcti1vVus/JIJ6Indzn7nSIgWgyzsZdWsn+WpGc6QXjtJR8eoehYj5X0h6I
EyK6w/V5WoCLEOhnI6s3e+O5mDq5yQf3nanCvc2PYGJ/woRkz3KSbo6VLyB60pokzohRIsHFv//R
+vNTkHR8psNarwdzndkto7ACz0QpHlPIB5MRfRCqe8mfvSgC/8SY7snsA0kMCvReI0teQOvh4HBJ
w5VCEA6bDlgsupj0PX9+DGxM1JgyErSWXqgP2qbSNW9qRedZC3C1X0iAbuNvG9B+SPXam9l0wRTc
WsG0V/jug5pECDvYt1rXLI/idgqjxBtS85vr8nWxOKYbFDw73qHHGhMbqXLdAVGuwp5obRosks6S
ADmgSHFA7qdC3KRKsJ/Q+WyoYl7IrRu3ZKNcZLCCCElFopCNfDhzvSxlBjIIhnOG/mQFcpQNiYJ+
3aMenIviXpXqJm2lTkIeByprRdsri/EpV9NzYLjf9MS/qTv5rCr/UhidAbLQWtstUZd1cWjME5uB
D79Pr4wqf3B51HjJttReu6piKp6MzbHTieAcHecpHdyTGmTNV41vdRcGnNvMpNG3uA5sh0q2uhtY
E23abv5kvvnWD+ldG3XB0tB/mzKc7gGJJdtwkDCvF+lGjB3d1tHa+vNFXff3cz3e+V2Kimo2UYPG
m2ruL1JLzrspqN4anH1bowbiHRjR05xYzTauMKG2k3ulInLwzAQ+D2heizlm/40jiKVOtQ8H59VH
Kb0RaXdwO8iNdpeGNBIxJ8N0Wcv2FT0+MnBcdSjnxbspy5tSC9+KEcsgUdcEIs/+vhrgYQTwpU9m
rp+FU3+4y1oinMVth2dnlczxiP4AaDZG/zsfinchspeiz9UmXGTaygID2cefYqou/IgwSomIqe6J
oybUZVVr7YMzEtHZT+muylJyzmKuLgGujt8dXDoSkrPuCv6VOaFddfmZV6zKRrZ2rMrIoSZlkI+u
ETrD/ug5JW92N5YTMaKZeYYoghvPh+Wlt9zmTiTKjWAU7qluliuzwXwY6FgLnP5QOPqH08EddHT5
3baju5SoIs1nk4jRuHtIzeGm0eMnvDfjGlH8YqLwj2Xv36QRdhuXTNHGwmZdpR8ojYITliY+XTTv
cV+BBmQuv82MdFxpdvu9t7JtPvHrJcJyL2gxw+c2LGw7ioJN5Ih5EwzuC3COc9PiuW5RM2GsMLku
bWAvcpGzNzFw2mDyrYPh5uVJK1s+0uQNm0X+OrjmI+TNtwC7M5Tae6YzxrqUI4DnDv3tmMmXUM8i
tKysgupgrE+jk76OMi04MaztKDPQBAI/dk4B5QqMX2Gb9yTHy9esCfK9ZWZvUdzgytBKeUDerFi2
No8m5zwGVV+yGQLLDD7hnOr4YzSj2udO9Qbj9yZX1VWT4tOQpIuC39bPKG2rDQsuZ9uZ7kWIsGZb
p8GT4c7fiXlPVmETwOkgEKqriJcMq+BBVw3hcEl8A8Jk3qQm+Gjb1+7TAZsY4g9tX5iUBoMDvGvI
Xqduuggti+zJDgV7wRQIQfFwJ1zyTmlwSHbyddpJo/NC1pLYW40bpwdqDrN717hZfx4W+vgMhjwQ
5YW/cMn7hVAehP4zcNVvFujyJM7dFRxWRFETifRlUaqt0ss7H8SBJ8aSHUtofLOCzmXiBhndtqcX
8t4WsEV+w1iLPe1UA1edpneY3bdaQJ45E0lmExLqemeSyJIfsdtsy4XKTsrfN61vblgQ083X+Y6p
QbjDNM0OcaG6A3J4DyyKpqxB/i86ZhZGN99xc2/qhQrPOY8BafFtqYUZ7y70ePiRHZ9JFqyThS3f
LJR5px7kcQY8r6XoCsOgfqUGxgw2qWCfjhnOVID1zCeWFCez2JF5wSmwcO3LEDYGzwH+m5Lgd2OI
sJtBjPHQWG/Jpb2ZpvoiVdwicnJnz+/1J5FZCjUjDufWbZXnpzVyCoMTwq8/50KvLsesuJwyEsHq
2sBwFjiOB6vn1k/Lg1IZOQmAxNYuh1obz0cNsAT4T7Uqzew7BqgF5G3yuVmwVQTqppXVc7FR8rNU
svFshBzEht2gDi2fGtXPHoCy69nRJLtvRPW6AaJU+IwHOgSuot/o4VJlWtVukRQy1EoxzY2Vl5rN
OtcraiNUi3DwlurvMuWHmJjWhSZwYCiBFTGHmV0gu6TEvNZV+YjH/HsbCxRX3Z1yukcttO8HJ18H
vli3Fop3xty7GYYRSCWEbZU5UaeK5LlaOhBXDkTCD6RC19ciH3Z5an6Ug3oFnnDnwzjaLHpcncB2
Y9A44wM4GqprTqUEvpPZHEGaFWIdCijKu2q87iYT3JOFop7rY1Y9F6t5TiJj3DhZQXEK7CIpxdGf
sDlGUYGBMsZZRLDLLZ6DJyx/BBEQnQNMPntkxGYv/PJ9jQ/+DNqvf3TL5Ao5jb5GUH8cbCpWID7k
TwJE3kw6etQ+xkaRYiC3bAIC0tGQuB/JQNDQTrR+vbQoWueZqb4g+byqi9q1BZmAsO53QzuDg8Wo
WuE9PKQ+XCY/ZZ3qMIRqwDt4du4ciFSTnmpltql8EnNUb91RL1+XTQi6WBPOGqUxZWsyb6vuE03w
ObdI55xCrtgw4PzwDfc0g4lY5Bej52j2m6whRk7Q/DdmHRw7YSenVvZXWlM/Wvoi7wA3Y/cHtIU7
k2Woa8+70dDeEk0+6ZVi4a9eRhudYZdSRuZd0exE1j+C2IA3MvGCh7mz1nP01l0GhMyI6BzYR3p0
/SkiJfaZfeCj1WkV6Qik866HwbwGJFaR04lgJkrTO9Nun7Ip+whKHv+sXJTRVvBmzV2wrqXNuDHM
HrTBarcxgR+AWNl09NgpV7Y27kK9O1hZUG0bf6S4zrEdqTBm/9DQesQmFogoX0I8awgB9iYbnO/Z
NJy5MowTo4JT22K/shMWgUtKJ8MBpEphPezsrinXZWgcw3KZSxJlv81IZltNtbGbEkxtqaa+E83N
wVuxzu4GcpQ7YxeqtN8FZfjWLQknlo6kQ+IiKsnGQyKUerKfz75W4QyJg3Ndu2+CgpiGdvFlTZTV
xWTg4AjiU+IuIpAuv2mDNNt2cfXr/OzvMLbCG/DPVwFf6cF/rg3kz/82slpY05KR1GI+kERw/T6y
YqvH2g6AK0u/L3vDD0sA3WS+5aI/XXawkkHS70sA07UUksHlz7IF/kuxmNjvfxpZwQxdRptMR5Uk
D0r/Ke0sHEwqH6u29rmc95ggYK5gTyeivurVZTMYn6iQ1Ircmb2Vzvd9qm54yT+ZmE87qcQ2mqJ6
rRv2cezrdx+ble37G13/1ujcD3n50ulq3ZGk0y/+s8yCbaEUAdpxIKytiyGal6irkgujdTemRv57
M1vsmWHS9WlBHMvMZJlJCtOON5XPzcnICO3u0fVSoVCsSy37jq2K4lHpyZbDIjspZIYYMBNjq3Iu
NQ7e93jCRyVl/lEGsb4jTQtSFeTR1azRiOnWUmoPbAQEcQ1B5EJeFozgQPxMjxxhL5qbtO9+2LX7
yont+xnRyGFEQrIXzF42ps2wB/8lnK9gM1QdDC17MzTJ1gKDZuaPvl7SKqvoIlHtxxhW35BNX6dz
/zTo7k1imt+BLcDyW4zFRzchTFLXPvNa3Yo+ucVv+mpTTai0UauGSHVM/RtzFncjSC5g/ms5FYSx
aDi2hmGvmQzFiuQxQEaNtHRFu1KtJ9FdTHDXvMxxajpH533swYM4/fBY2jNKraC7r4YQdxxcqAH4
dG/zrZtzvOmd9ibOq1tQdzscfd/nkYLBZneyduaaHWYevQyFvePOwshg616dGd/HkFVoEZ46MTyE
5rCM9LbWNGwVsysvxAMpZpcQaAhYbcb8xt30tdpCtspWzjB3XCbykEYzd6RzKO3OWgMpelxKFCeP
kNR1j6EVgL9FRaWXUFkqeT1Z89ZqYIaFxto2DgYGjnlMNnYvsdYwyzJcqtDYUz64Ght2Th2KaD0m
GcsRrN42VMl0E1n11oibvZUhA5nd9ibqCFIpxk2PdGlpGRCN57uwr2yGC/j9M8iD3pQhO+oCuc1T
f966lrtnr9JxW4672MYF0trbXBg1Mw8kQAHO75DTGdR3UEw3zoxDZ0AziJc+G1EeTaTSODwbG1e2
JmyhsG0JlteeWQxFRBWocxtpUBh9vbZXmstSpyTnAENgHJg7gRSQgvoRrvw6hWHUW/1O07Rjk3P+
wwArmAa7WPprse8CyONDE1zBS2FTRtAzATVRgpjX7LeJ0x3bGG1Z30Ybv6uGE9z66uRoKXDFkAKp
aOSXi4ELx83f8mI+dR1og0JNKCvDlqSoyRLbhkEfLzGLOy9qWgZIxZCuG0I9b4jgcnajiQnj/5N3
JsmRW1ua3sqzmkOGix6DmrjD+4akk04yOIGREUH0PS66VeQSyqwWUDnOaZXlPnIn9UF6kkKUFDJN
800kmSLoDQjce+45///9WpQ14MSciZFaVWjjozY6ULxCI028srLTO6zHgdhGKmort3DNhqJ7lO+5
Nn3Nx7LcZJJGlyvaTcS2vFS7LNv7fbTD4fTSkW3IjP1xENOKji1VOoLYZVuIVe5Q2VOg0QezO3q5
Y2emGjettY9GnV0eMTS6FiPrWYOMIIdP5EKUoa3jz14VddprUZlf+nzoSAyn3c2XU28rGHceC85d
Uo3KJy0ZJMoB3Q05knZlf8B/T/S22VWvSpJ+taWWnSyOTOWIv5wA8IPIuWm8IFlWFR/0MX4BSwdS
vkyz7QhpzFw1FZlUZZQRLQGrU7kRSerQeUssM72St5VsBwR3+xLeB7HXlKFwAFXyQzW42dHaz5ja
YV0ezRdSrLDqW+1wBHAy3FmtS6VlMHW9hiycI/pEE66aqZq3DiSH2aKptB5emaMTuPi6jOhZFDPA
ABVZFkV7Gd9FanOfjGJNgO9WT/o9EQJr0gboSxfLAnALjIR0NgBnS86OZxSz66QaLM8JKd8twtoW
jEvTRaJXO73L1lFgPqXsnOhBKbFxg+hhjVkGWh9q164YPX8IF0oJkhkHl1W0K+ikcaHcDQpiR4Jr
SLrRF2lYHlNSmziGAVykwrKKc2w/0QuyW9cryuxUVqKe+fno/uR9W48nFBwHramWHZ03s7E9ExLD
YpjYkwJN3GP43lXkY3lWUHiR3e3qijDMXh6aXNnqaQx63852nVp8SsnEmvRobdQplNUKqqaoHrrY
4UoW6dGvBpo/Og6ufjjQ8iNoin7IKNuznCachmiFlxrXEDvZZ99ULmAjbmr21bVWsjC71TAt1DJd
xZHCcp1zogPMWYsnXQWE+68yZpxjZv68Xtv+13/87+gf3n/+O3PG4Duko/lVfq3aLCQT2FldWgy/
qdpQadEO1EAgCWHOptSfqzZwRnNeOXoK/NIGmP9fpRuzy3UGrDOwnpMNTfvvzBk55H0o2izyifkA
QJNoJ+Ag+TBn7MeaVGpWA6JaAd749GM1d2kPKqDiDh5M3XVfNJoc+8YNrlpCHpQTV49W4W9tIiQ8
dwixXmn2fRmoM3XN9GICyblxTc4Aqrnomjpe5w6wXbs0iM0YCL0WvQnrd3SIAGNaYSrKOxHaDDXI
yCUyzME5wmVcsmsXL5OyrhNxNSd0FwSIr6KClBDGMsVGH7tl5d9GyioW4YQGu3mwSEBm8UX1Gw7d
PonNew414PPj+Jw7/WnsxbXXDH3RixmgXnuoR/b0jdiYi1crsV5KLaSf2QZPZleuGEbulW743GXV
afRpyuGROLtFRA+IsecyLAEFNK3BcZYpoOLv3bhBODK4N+Gs0DCsY6E4d0oJv0X1u/AY9+K+N0mL
L5xwr3X+ta3Klcg7a1mFSNnzSpzHtGjWrNXOxs6yie6ufx+Y6s4GWSH9YlZ+AyPpqddw9gr0EUJj
stV/7mhc0bplktDUx5qMsUXVNcAhWa9Ft65D/0CvADKLVSTLBK7jjGSjtaZOO8A7ydJN6DZM/TMS
ntXUjA9Cs26CuDxpsbM2UejUWUhmNXuCdipJ3AVPDKPzPRs5uQ7bPCF/TI4nBTpCnxwcxdj0WUfH
srsLa9pDQIV6w2eXMp7zsnlCMyOY4TE0SeLbPo8eKmXcqCxVkS6fkJbd66HyKTIYH5ZWlBJRQ+aY
1g0AkYmhL20S9cB5V4xyGJ1JLKxKy63WFto7Avx4yewQGTcEPVdVuAWscNqGOF9Ke3y2paRxHltc
F3DBeHy8pAiDgzRU51Ap1X0hLUCoXYKPwjfsRW80y0ircrg0+mpgTCIxHE/MHoDpRO6yGbqSig95
8RSCuAvrul5WtW0hWx95+SR+C1Rr1Rb1iy3VL0Ng3cHlvKTGsKOeW+qF+qY2NLj0WDv4ivU5r7MH
veYqj/KcWbS5SFwPhXNPvhPwMDZlNc4e/CDkHECOoDZFX5P5TlGCPvYwCVmMXYKThbiWUovpiNl9
kWaTLYcw/ESh+MnXeOSgiK5qZPlsssVjD4pVKgjzAUVHolx0+GzaTnq+f7btrQH/cTKWml56LbxW
ze8ZIL1XFPixdsEOQ9m9NsnJi9OXlgqkcVgxpunZTyn002ndE+ucOUgD3xV954ePFZsyZGjoGTX9
blCSojSfwLg/DEP1xY0Lr4Jc0g65taJbrnkm5EkFj2sOoGbungInnw0rBs20woQi3ygNaRkIwpjY
nDrH6dZWYdyhvCJi0gb+aAmflSTXW4bl6M70GqRUWFSPjRvd4V1+amX8lhBtj0S/+RJMvFNSgXyF
8XEXm7OptAE54esmQZ4a9I1UPasmKokhgiQaJOLRnSa+nCZ2Y5dtHQytHHlvYa/OHtKUA1j3lXP4
DRkRwJjJXVjAbj4TQcEQrbY29YyCqYu0WkD/4QnXepVDJaoxtWleB2Xu6ZZq846vrTzoiVnCTrfz
dY1yfJ0mkbXFtq2d2NqzzdjUd1BQ5DUxjItpzEk/k33nIKh+CBxuY9eN8Z8pSAIiDUP17Bjkth0I
l8x0eAEU5/GQ4VZF5jRChlP0fG3mUIqswXjMSo2HSPjpk2wxZ/AYmZEdr1FwMxJNKGEMG/u931EW
o8RYlD1LnGhR+vXDJhfdq2WZVFqZsxpcm5I1vvOjcUt5ApdZ2FeiljZW3l0jRf1ENsHWT2HbNk3I
2UlzAQM36bIASbpSXM6Kgwr4R/OUFlFLYTErHyiKUBKuO7+kOPc5hVXxrgTRZTjpY6j5j9ZYfcln
n3VXNyuGbA9Tj64ACFnkpTWfG8XNlVl6uagn/5lupruVXTd6MZnyBCRNF9CDkD0l5adfj7eITE6Y
etptNphPgELJZA3B/fYc3L2klLcDrcPKjQ+tQXhob0PmKizg0OAk7814uOBSmhYHwxGHNIRNDHvJ
HrnjXWd6GdMQ0UJpk0tFthQ9AHc5Fty15UD/sY1ChZEIvTrDzsMbqNwSx7NK29p3goOd4bAUMk+W
ItA+mU5+/pep3JCd/nnldohmQOVfpWughP2lbqOnpuNwdRgE6shnUWj96sQ1AIxQhNkWOnrn17pt
1tUiJLT5MYHeFUDJL902CCSgrOYoasJxNP77bwnEfqdaRJrtAsQgqcMxSVmi3PxWcetkckwh9zWk
ZxaTpyuGAq5eT2+/uUJ/oI2ctY+/ES3O7zKrHQ3dtVG+fdBG2og/oWHlzRaZmH5UsspcsXH6m74b
XkewPrvvv91Hn4iDOAYDOgRdk06i8WOgyDc+kUJVfSPFFLhNnB5HJYnGS3IdJRayVmy+/1Y/1rW/
/WrkE+k6HUdWP+Tu8wX+5r1irZ/UICnzbZW70CbyXDtPRq3vqhJ9kbTy9MLMM7/DZ9sspSNQIIVJ
tZSqH3vf/yTa7y8y0uxZNT07IjRjlnZ/+0kCiSEXjx4XOREjOOCuCeAJEDDyjm4bsZIaNmUN9c3v
Dz3FAUc4zU1sbEiBf59XMVudo6BrcxQdHY7fug+hGfBXmb4DhGqaAiMX8414M7aZJpZ9YkUCXIpD
S2rwmURHuiuVbVkyyaIGd5xwWec1FNPvf8vf36+uoQpyvzjQmDwWH3rDlYkAJImibkuaLy4rOTWr
loH9X1zLP3gXE/c8D5k6K941HuZvL2XRdy0zr4q4dyKVNhydWfGbSfmLe4cG/IenAjkKT4ZA6C40
pKK/fZdQK7IacSRJ4DEdxHZMfEASTb9CbIDQpm+pJUU6/cWbftSDsgqBNlKNGW7EYfGjhyqF1IV9
TnTbsariz1qHokAzq3vGju22wWO8NgK0imqN/uL7v7l5JfnNg8LwACQmGBKLQyeCn99+W1OUhoiz
rtmC8ydusrT89UgK4DIuiuJQS1Rukcy1TYipbTvUov2LNeF3v9JZm0vDiNUAzBLL7W/fPp7YZGmG
NdvadrsVidZXreJI8P3v+IdvIqDScl0ZUDsf7puyLyYkZqLZMom317Kgwd2401+Fkc1X6uOVZHSj
E0/HgFloH9bsIjRQcPoT79JRTqdOSq5HjNlOt4do+/0v9PvlTRMm8x6HWRCUBtX68I38sIA6hUhp
a/ciOSrF6G+yqnrBUTp6NfgqFg09P7UVHabE0tEVEJPmESr3T57Zn+re3T+4fehWGExm2UoYWs33
9TfrrJ0bMjZSHskpGadoAzUGf4A5KtS0qYWLS7Gn+HPdWyn6VjJ6ACHggGIArmWm7sW6C2quzPvb
oY37V9mpqOXKzskeHYXMkGPVD8GpR/gxcSie0puxjwzWTn4Kxz7c5jGdgbdTZvuJp6mDHR2DUQj/
zelyuZsGWfZe6DvuTui96u9yFL3LmpwbLF51cnLtiHYs3mdYyfU0oyrUFANwRWjBTYWyrL9SzVUS
PI5mjkQgFcG7VArnoddHeI0z6jSefLf3Ukmg/YI/T5cyHoAOuhho+UJO+gyNVcOX3DHmRcVIKAtH
8XYoGeGQScKwpiq+ZloI7KJUayr63jf8fCMlokMOMFV7pK8INTGE/CHwp07VvUakD51vM6CWB8f7
NlVR1GwqLgsG34juvYl5pqRVEDafgkpzbpV+NOVD4zbFIyVNlK6LIBftZWR6TYC3GDqftIGMe6NT
sbxvRABbahH2KMLQ5agnDtx24AmkIQoCRnuY6NCr9bj3fY4gZNflcbHpjWJgPgDq+iuBGGj82qKJ
joqNoPI+ygRSp3Sc9WcSbnX604bw33ps/GveJ8vUn9ez/+/f/us//k/yD3wP/POPkOu/eZ2fe5HY
yChPGdIya2UhYjX9uabFRkZdihOGrY3eIlXIzzYyHYOZZdEhFPwF/viXklZoc16yyc+wNc1Zo38r
NpRh9YcFEmcpbgecpjp7nCr0D0WCOjSpRsxHDoqio70Nk432QrlsM8TmspQ0F3HZoNRhkmCIKNl0
sATIOWtvXZBYXlOJV5bfo99aCxsil2xBeQ0FsN60CQ/A9uaMFnHWgr5cc6bul2lVX+pZahiN/hfY
J9cwNa9CGyANy3qjxM2jqNB0hsiXBgOPRd1RFiGx1i4O7vGFUKb3MmLgCh3zTVWVlwJB+Cqcwk9R
amyVWlwdvyWyzCqPZY1VXKbmYZrLzKFkVcZIKoOKdUEyJgq17oJ68VOfDvUS+Ccn+KKDPhA4uLeS
c6soa+RnhIj48a5KMa6qczTOlDovzYSyk6xRhClDBoAM+KlUX/LoNjQudZiDqGdSFBe0LaXpLNuU
RAy3HWHdaWtcpy8Vkzc4GO5NVCYGs4aEzNIRB66rfBIp46RRao+S9DU6A+kprkyoMGIfkJi1iBr/
izn4CfLj+iIFXYLBuqWM3QoUsZ6pBuaiURIgpLRvEbiAJlDNDQ01z9b5cx9WHUonKDDoSpHcWwNy
FOVOR8vMsTY4a4iO97XqH0YaPlbnn9IM1+mgr9SC5lD/XHKLL4K+20zSypYSLN6qQlIzZgupgYmz
l0kDXJ1T/VWGxjZx/S+jCow+Us8pQWRj+taJ8myN7boHFSAHhDITmWf9xOh4ymnQdNg9JpNZfIiS
XCTgTih8EJ6S6SqT1TC+D4zcA3lRwf02fnrpo54PnqA4028sAtI8i+AOmpcenWjLqtA7cU/2jJiQ
byylTgc5Jib2ALN1UQwXq75vEVqF0RlQI1ZhZrol0yPCmDyjB9YYYJi06LW0ZWIuAC5eB4hP66Br
CJZOdniY0V37u6lB7Tu4t5ZE6FUyl5W6uCM66hgyOQ61p9RUtw2cBCOXG0Nm+2hiu5tQ3y1qw3hr
DH1G/uqPkI+xE4E4Lbqk4XeEtNWON30jux2GxlWEOI+GCt1u6vlNFxWnEhF5BdlHnYJ177SKFyCL
DY2YEVxxUa2A/h5E5aCJ33qy9TzT2it+c4idl06erUR9j2VwEI2zIoJGqYcvLaPpKCgPqAfAVMbV
BnHyxcahsdArxAxj3oOQ+aqkwcZPgjkxSq+hUdDEJkiGCCA0Sc200NHhOoXG1KFC1Th5Uxuchqj+
DNb3OpnhE9fqPmzHnVkp946G0tetbqVttrtADo5Xml8sP9oYhMw0SUJjzYaWV0OwcNcMJMXJdoxH
B70snWLkg2qkHKsWRaoPWTYozXutT1TMPbNmv81vqGeyTd8iMVTdele57TpUeB5KxV8JJb1XesXT
48tEToAzNKAX+SSxSi4VVJNFhqQ71o1zkSITM6KgXXDAuwR59WKhTGQMCzpRGY1t5h6gPtIKth4s
XX4dtOJY2N1CdcJTR2I4tJoSF0aymTSdB266Ona2B/1zsMgPDjJQXTu24aLXtyW9O5/koKiKDrI2
ebX6zDGaOr88yZERY53oN63le7YYmV43M9i5Jj9Gju+xWWnr0aIXPdEjy1zAh1u1Lm/a1vdMp6Jj
G699IwFPU06H0VVOKZa1sS1ajwjBcKsaxH623IwQNTAU3ZEef1unFtlL3PdmtGybCQhdvTAcQH6A
8DMhHip6ECsCQUDhSWkttMQgz6Wv131or3phfAXJgeQxJbqmZA7cXcTQeg19WkZLKh1ZZ0vncZ2W
+wBrhaW8dNV0Eq59tbXX0ACapHR74caPTZ3fhjnZcEjHt9Y4Pfc8KssSx0vcN8UyULQ3yiSsK9NB
dOGw9smiWFTBcG0wWy0gk6wJ1gCS3pEwxzQk0blBnvyYSPlgw4CCUnM/P+QFg5BSTPcDou+FUIdr
YE1bZ75VwijCUNK7wA2IcNJD7Ubv/YvJIrAcprkp6cMpKp3c2aI8vYm69gZ6+i4aoD3Xdu6u2BmO
tfugB/ohIHcxKuJXo59uVMWmkUh6WtAmFwBBqVdVymFo68QzMh7fWrtR0ln1keoPldzS+rA2ZtnS
ujWb/dD2IIEyRW6KUpvEAp6jsy59tNqTlj6mANO3WWe8aT3yeizQF7sPT62OXKsThTanr5EFTVO/
NM17lAijR++DebTeK8tkxCQB+YB+MV25RYvm1etszDWW6PZSoHDNwZsbNnMZOtVU4li8hMM2HNvB
azuWhx75FLGhOvhI/c6wE+VqRCUqGLu/N9BkLDE2ZcssIBql7MRDn+X3GKHqjXB6DSQlnWy9jtDi
pm3kweAWO33QT6pGRCqxh+hao01utoherGGHlplq3s4vo209ADsikortkXR17OilItd2AbgOusVe
omWILROdrWGNR3goK/L6jCPpj/TlCY/xmhGRt1npN6yszoqfQ5EtJOAZq9O8ili1YxnA4A4o8auu
V1eoj/aVxPZkVOOha/qtyw7s1CKGgVqFC+OxHJK3RC9XanvyP0UcMslyXIMdXsjo6NfnUrBgNfgX
6jralYN2MxceaRbuB7vejKXcWll2n6jti6oIuUO9m7GgOYaXRDB/LJCYG4Tgi75Tb5FwrbBpv9us
1khDFJfsT7L02IF83Iw6sLewCXe5TbqqNPYmjVFuyhrf0zAeCK5hFOTZqvJqqPkG3NmrKYIX1Do5
UqdKW1RNfdvW9qOUWG5qRT5yCvoEf4uxDZisRT7JB6Ma7mmMPNVFuWtN/XEyxHtUDJ/VVIIV9M1H
p8q+tGlwYFyS4BoYtk6Y7aEQPeAfwic4+F7auaifrMY4SqM+kXnhGYWJ687ZtlnlRSGBk6Lzk2OC
EHYvh1MMsRleP7+6uOgJpGyxjVtzprqiHyJdvwFwIBdmS/8+S5PQw1HfedSZR0hzb75gzWwtCTAp
Jm2LeYY7lecxqE8EatyQG8aCNZn37TTiInSHtyEdjiSbICMZQ+DtOeN2xyiws5RWj5ZduRAUg2za
ru6g9M4aKtRckU1wcp9GT5bVB2uM/WdXQINyOzCDRS98zGkAU+krHzXF95dJGz3mknOkSAokwZaP
ABsfAVzeL22THqrcvsOT33gRvjmSlVvQwr6PeagfYhZrJIAdlgokghzaqxD5Uetz4R33wQzN58nv
9gwzP9PYuVXT7CrojXiBQvyB3qpfA7KQqsJah9zEMa6rpRvi5ILN9eKYzKBKzvs0gN29rvkPjEnR
eXeWtuLcua9NSiI1iPjQTkyOq8uiAmWeGOMyetbCYMDcom5D/KhYhrVPjWOfMkU5yyjOPSUpznaR
YZtOHhS/fVXPVWX7a03NDpAROEdAa1sa8Yks2s7eZePVSLTLwBGfYMYVIC8GaHO9YXX4a6eyJ66l
8tdm7OzcSa6CLrstY9Q9du7gkzLbS2JLnH7DGrXO0omqK1QMKNVxBdErkiVFq+ufmkBdE6RQbHGo
bk1d+WRT0j5yB7G9MGRMCvMew8lNHTpfi6bSVxLz0BghiSVV8YSQlbwjTd03DpV9PGrlnhTpx8HB
Z6moGE0cdSg9rcIzmlkJeUvWTMm3EGa4o+zv3BY8VUGu8nMTIV01urBddmhFEJ6RzuSkwRsTrGMK
lGxRm9pVKZjApmHtxSRGL6BicgKoClRYrgWnLM95hdS6bZy0WMnZ82eXj+RONYhNy6fcpLeeCL6s
YlbT0i7UzvMr84oWi42SDECGdRLwF4x0jD4heQ3sO1YbnTW9JNgw2lgST02ouatgUN9GPwY/qXfV
ozNEzRqNpe2BKIkXeqZ+6mROah3rdCsxQcg2/IRX+qqyfB/ZN4c7tcXNHGKVxQSnb1uh1KuqG54K
uaLt51vKJSzwn4fhxqC5ChA9uW+DoqAxU79JP7+GmUnNLVjcMveayexEtnG+sW3KNJPJRRdSIY01
bTV+cEyZy7P67wY/u0PicEWjuGzrCJY08/WQzTObOKxN8WPdMvYYkgGlKtYSEZIPbvjJTVPL26bL
DqNFnpPb1eouYCrFYThmAw2x1lFjHKfE2gqKHDimVr5peejWWRD5exiFxIyZ8TtrTfo8VXZyB20F
G3xXthu3DhL8TDMsTxdEf6oDNinMakvcWc4KL/pBh+fh1XIqbidlYno/zyf13Hg2Kr6Uhqs88uO3
SW8e3JZVOcja+zhyPhuhtWP9xR6DdAMRZLbLnPimRAG60ICNtRhuVpnNWuPm6dKww7s+sPql6wfb
YlA+E/JE/mbZ9T+10P9bN4MYmbhAuWgl/3knaPuf/44W7cf8vT/qA/36Ej83gawfNLBbCMw0lfaN
wXzj5yaQ+QMEH6ZRBtNNlxHcL00gBGl4BKC4gYaceWIfBGlMJlDeomSbs/f+niLtx3nXt21yho0q
DagZZOzYjjO/07cd45CPlquBG++NlmCaidA1yaEHl9pc608W/HC5ZSkuZxpfsLQD5Ta3hoJFOSxW
epy8anRetao8CkNuJ7btsfG9cRo4WEdTBbJnSJHrTG+kNWxZir+GhfruoKI3eZGt5Th7K8D0hfyA
nTVYpJa+H3JtF6jGljbBU2wUDzIzHU75NNGpLw5xrtPQB5hN3WVaQHBNjEbsbLeqfldZyZ2panAK
UJrgVRtxvhpvVZw5UPBRuOdQf5d13B0ltTCWzU9VZRxqHPro7Z0o39KMWrpS7BQos/MJG/Xp5Pge
qgdOg18ac20xKsy7Z9J9abYOq7B9KjgmqNa5sHcGvv2uj4eNP2sHSsjNC9IQnn+MudaF+6kjzBpP
BEFJUl/3WXNvB6S5acpnIw/ugo7Pituq7JO3UWhvWH/fh0TeqQCQ+za5rYxxNQyYo/AP+EaGsApF
iv2WxTN709w5s9DBtCHnT7s0PGfoH3owpGrvTDOY/SJr656Z4Amh8xaI6r2PeZH93jlHAHx124Ty
FB8I9YGCPm1HpZ6ltLrX1SslT/eBQAZjaAslAq4hB04omTgGWMv0zr4UbfRmi3ojbVj8aJGtbCS+
65hha58ovRKlXOoDMr4UtQdZq3vpDBd6cMfQZIYlCNf1a7DEZQKNyZZeT3HVo46G8PDJQNrm6tkT
c84riIxXwFaLVlSPejdd1YFQHsZihAQG1x7tiZOGmxDsh6mch+rkKIcW4ReWbxK/8mfO/fxrXTRX
czhbFTRN4wFj+ramiGTl5ricPqpdtC1rYqMDNDjlduIUH/7Yh0L64pvRmqHRrMJZjLJaDejqSjpB
BMluhVOBxotcD0Q8gHr1LtCixRQnWFGcFSnbrqI/BGlxEwuuWw20RSh3ZppudHn2NcaZVMeeDboa
h4ixDNLb1uQkOH6W4cXXiK6OVays3TK3wX73m6CT5LzxU679EKrlPnGSc1orW7+vnvEDbIiefg/i
dN8iEmoQ4sR5vzYwIS9U+RzMw1Iyycy6uIfpTxTIQMpEh6Js2zLgCyQDcYX8dVRu8fBEZB0IlVXM
vyz3rQISk87mNmenNjRKoYSDufAMkkIi932ovgaYixTsGu1obyf55DQ4z7VIZ3PGXUBVN0lnCcZE
wAGx+EXFJRT/aIXahhMC/aq0X7tU/XZvsjHWK6M1uBzjJUKhmhG11DpPChq0KDiWlDHOsA/a2Itp
bTQBRGV8z+JkKuZtFxJhBkPM5ao3R6UCCUozA2+fN5Hz2Gk1+SIReltG/AERJ/LGZ61L83cdVgn+
pxdSQz2/pfA5+qBDCNtaNPrJKl5SIj7ocVMvoWYlEg+1JR2ZwRF3Bn9HJNMTI7dLLMleiFqQBs2B
WSP9NFIySSoew3AlenrSggcGhjNeyoURP5L+fJFMxojDluEM3ab0zK9NVxGVS6M3YZD+2aHsF239
PFbpeiTFMh/VTSsKdFKsE4wUO+bDUj7H/otFhFTKw2TIU8CTzS9rPbZgbvo7U8M3UYRLEdG1wzyR
EoTzjPZvkdXbaXxvtVAs4um9M06pQ1ZlqPI63NFR2iEBnb1U3DIK/ReHhX42DuvPAwnLRnNCHLfr
oI04VBwt9A1Hv7U5RAE8AbJlybOTGi91ChS7UF/VGs5aK1MaYuU8NDwrATK10KM17i+6wnztEvVO
j2DC1rRPHfxpg6CyA6BDDmT1kLv90ddd7DzKRu/qE4Y0w8MWzPetJXHwUR0Do08ulWm+2ZWAVlc7
t3rmPul+zG1j2xu8csoyaDrCp/LyquiFwZLD8bljPHLsRm7ekVKuryhgkTWiL6UhtckjdglbSZ77
0fgUW86NTKf8bqK/ibc+xf45417M8At2oYcsrbi1uudOYEKDZY+kNoN9l5HGyU3iTUp+tsP0Oa2q
ju6Jm81Rzuayh5i9sDQKwKiFU66QIMmZLOjXlYlXaIqy6qgCdgga2oXmqD1JmMJuRfrej+XLv0Ch
Nuu9/rxQW/7f//WP06v8w2ndT1Xa/PM/V2kmYzeqqVn6gGaG2dovVZrxA30SsiEslBnkYDFy/+eo
zv3B5P9RhcGaExA8NV6uKTjd/M//4fBqmkVlRTKHTZcaAN3f4JP9XjChaYAoNcyN/MMxPsgLJlrd
vSQOfWtFjb0mswruOsiTn6a3fyoemGMwPigmNGpUbBOqDaRP+6jnscFeN37slLxNO2WvXeym/rEm
qeoUAn/f6nUJrUT6ptOvzTKstBVUExpUuYOFDTRCmK7lGLk1TQQzrxGITnJdk+u+95u0tGaqs34A
MpG0eAFs5zmUQX1L5CzHT6TBvE6BdwA5akDxRskHuLmn11kunSbxh2Uh6iLaRBonuQ2JXC5xoD/N
seN5po0ZivF2aUfR0fxx6J2TN/x1+HEUriVKWGzo4wGHSNPcXHEu9q9Nz2iF7gcJmOxEHWIpJLW9
GaxzIWL1ttMpu9Y5VDDgaHQ/15PBwz9GKgsOvDc0oX7mK3tD2GPltdTII7G2Pi2vEichFih1ouNH
hhI8oBAIzAI8Eif7ECBcyBihWKrFyEG5nWr/7Ztb/Panwv0fucxuiyhvG260j79DHQ2KaXPlsbLA
7JxvpW8EIFUCEbN1i3LroFvH+m6YTBjgmvQRA80U7tRNAyqNyltPf1pG/vT2+d3dM78zBmcmyqh6
LPfDTVooWW2R1VGCpg0k/Qq2kY6gYdrGw8O/yoLlfPdkiVr2H8fX7yW6zz//84Ll/MDYURccD8lu
R37364KFtgBFJ08y7V06fKgOftYWGD+gQ8DOzjOOymxWB/1zvUJb4LqWwEX+z+Xvb8llEdl+uA1R
67l4zQ3WWc3AjDWL+r65DZMmmRQRlu2u1APMF60frKa+8Zd980b4GGuJr5AW0fMU7Dq7NB+qxPii
98kzMORLUffvvi4CxOLJtSzEVUMzQ5dxHw/tpcmMO1Wtd+T7VkGEOCYo9gUF+MKdoPibTLQUI6Y/
mDyEDv6NqLgnD4PTwkBuzThUq6jK6duW2KIndUkb9YbjyTvzJrkCNk9eiZk9JGKFN3UGV1j0vEtq
yCjRlj3UKYphl9k1QocZT4TOZ4ub7GIX2q704S0S5VYMsF7NJe+JqIAA1cQ3Xltn9glOz6wjT/gW
HkYqWVFmr2afeSZzaxfyhwlZBqfEyejdbVoTipKsid5dVk6b3NhTOxD5x7xr7Fl9go1BuDWIwUVk
KZtRzScvNQl8s5AdtLlxdTkUEUjgOPeO5DBCeMWBwRyTQZSuy44AY4E0wmtMdW2q6V0z9nda9U6v
vOZctpANEb150DxpTfRZcaXKiS7ctDJLT34THyP82CK+6QQOH2xm2zhUbpqeM0ug2wa+qugaRiHa
gGLZlxIEcBi+UZl5wLdxhrEzEAWzxIF/O1FreU1b7PTmIiUCDMeuOGf3X4P4hVyxetGNyjVuM1Kj
MySyOUwTjsCoPcH96Om2gaFmQ84JTEiHY9K1S7oAWIFrI1+QL/FYFtBgJiY4fIGDTzOOSn7qzLOQ
9JvjWd9V9evRD56rkuZwHav7hMy7paLg5x10fv1M3VdpHl1F1x5YY2/TXt7z+OCYc7Zls5tcUuKd
AYKLHWGWSklM0cdhCwfhGd/ysvWr81htosA37/LSuS18ckucVg/WMH1o4Lb11fn/5J1JkuNYup23
8jaANPTNlARbJ530vpnAwptAf3HRXgDbeBuQ5ppoKg1rJdqJPkS+fJUqs5emGtcg0ywt0hhOOnGb
85/znRlEkutk8ibNJbdpnB1mnh21BsaZ0unC8GW5I45UbLD6hVo5Ri9MLS+2Pu16A6vLjNAcyJQf
KHPO1lLs2gTch63C31Ewx1l57m/p9L5qU3kO0pj0HLW7TPLRcSL3Ju2mrVDRYQzcF69kKDHK9nby
smpP6P99TvWda40BP5//1eCmiNrnlggZSFFpq6NLL0TUNiu01XmdCfvcDuSwsOEzk7eibV0jI/CA
rZMu3mkM6eKXMSioXaLLUPeB8lCyoiVLpTKD8kzsbPWChSW6qPyT2OBAO8LRKBOxxGaYDBkmXgyw
cOtCcUCw4TkV2oM9Mcp2ABN6ChKX38wPWKAx8GGAW1XadBM1xg3ZxS/F87L038Zhlzq3cnKjm0AL
bYu75qyqB79265t8LO6DqQajNt+ZS7CdMNGJoFh7ruFeZJHcalYhtjZ8sy0ZbWOb0R/OTK4hrkTs
nW8kkafI6FY4LbOV1yYfOWMs+PX5phTxQepcpIFdhHGrow+gy7femvvLj3wCjOQZ0KM8CgTHIb1G
qtzmFpRRs76BhwkQ2jh5eB9N7ehTI51poTGbVJxjGXBCeFM7Wns2NWRvrAjxV2Z7odcZ53GgeiVu
mWI4AWPe7FV0E726hUezeK+0leNE7RrN7r2R5Hds8cGA5CVV2a7LOdyVeIVS6l3w03A19zfUL/2k
ho67+XxvqjfD+dEkxP2YEm1SPwBcad0WBsNqqohW3tBuU+ba61Ro2mMa0++ktCm7oUT96OfWAVhA
uhc1nOnuw/UYiqZauTIBeh0MU50jyrYyvgtNQ8RtCvLXANupEffQQ4FlrPKhaZ41ouOhH/jXAjou
8GpQUDXN5EFBwjWufLkTEazcoNtl8HzmZTSBDSS27mgfSkPdZYkv6nvwjDdRHD/CnBpMaBnVvB97
xv75L/u6ciFK1v6q6R5xDRla/BOOGgwF1Mva9F7KQV70PNE2vRlEAFG0w2zx/Z7woHcaO8PIpjXa
Z49e6VthVXLd5vq7NTu3XBqo4MKK4QVE9RnAy4MwdnnmsUMMp4re98QPNomB22egbWk1CHF0tUSj
PgYUhk3XVIdy4kQyNOJhPogWEkVDsmuXlF6+j5vcPlq9bkDfyJ0rzZR8lTINVl5vR6Q60QW3QLYY
WSDoTJ3/id/rTtK5HIxfZmQ3m36i0IuQojVVzirzQZ0OhYFApLMudZY2bDypDxtWe74ivP/QTKKA
2/p0zaep3Uxd8eW6An2xzCI/dIG48QX10wNgomQzCoAeZcmk1GGCugbW4TLscvnP1u02bgrouMRW
UbkBb1t6j37A9y3o6h+RxKmgxtLflSq+Lvcw5o2ERZ103psdu6OZjsz6nbC0chAa0WdvEL9tnM+s
Ba0IYPAraAfMHSSnsevhc8oElXnRuOtKeOuYY4+ej36aNI94uFCF+hoIjodjNnDV45w3sOJtQqLR
cOmTuVi7FKvvAneatq1ptiQ7QG4R0b5nuWVpmmpC0Jq3c2f0EcIjWK0r313p2kxrE3PdNnDAVQ3p
A26+S0VlvRlUHqap+LY2cQbZSDaQv26SvHyk3yZAxi1/iF6B9pCYDVO6zRkRn0yQa63OlN+wemdd
68BjjbaXa1lkSJ26NdylXckiCJXz2hP2W/We9NeZUTz3WpzeTY5e0wEHI9j13OqClJGtzWn8iDA8
rUff5tdW9ziPPFbJwP4ZdY39NCbyhnsz1zzN1BbjSDgWztVB8SdUXrHexvheeGw2iLMJre0jS2Gf
jBuTFp0FeVaskg5BhBg0MzbVAK7MNiV7iJXqnwZJP4g+cbXqZVJuprrnVGfwG6CWqKFAGUkqsOth
O/UazDod2vTAh1vwL7fkkKDZj8zy8Iu7yXRuxEK4GUu8JDhOXuyUtazIbTYWOyfiXGUPiReh7atM
blObRTKlgzzsA1rYEqypa5zaUZgYxT4eYI/JtCVbPzZb5FNvgy/TPs5e/TKl4s7XaprgSICTjqjW
szu8J9DZIMsudx3CrDhnxKPgyHVIDf/EJsO23I9vqqvdvZ625cYd+Qh01xu2YAA3YxEDFRGJAJpj
B/zILaVpU/I9GNi4uU8VIZxjGuKQvUWwNKzhANrN9KidRTkHK91q35skxYfjj+/FHNWnko97Qfnl
61hxLjBGAycu9Bm8KBM7V9YU3w2Rd7rVeywFzpwNbzQCMqS2Sbeca3r8yHNPgkI8qeViz0myMg4R
PHD70WcmGwVF0Id87DgCzPzZ9DJtTTro5NgKkvHgRKukX5wLiweiMoEeFpx7bJW/1GYiobmwDnDZ
nteT3965WQBZGVtFPGsKciM04nLxXMRZOa2LxYeBRffE//SB2w2HBlYNb/FsdO58cREh/cXMgXkV
qm1y12LzILHDqh/UH8JuTnayDLxTmQDv5ZeQLD6RSXcure5QPc93sli8JL7Vq20+0l4taMPs8Jss
vpMkooA5WbwoLaYUCj/2FiYV2dDPjGmlHE37lC8+FmP51miG+eJ5tLphdcF6uE9SBNwWE0ybyK8G
U8y8uGMSbDI4qH+22GYGsz6kpXxxsNN4jnrMFn+NszhtrEl/q7HedIsHR5rBM3V819LsMGc7DICC
InvHjPHD9qudi5HHM4C5svMX+o1WgCYIlOeDdeDbSiF6jBVoEi60Ozfd1gNUk2jxC/l4O+FwdZr4
WRvtZsBWVGEvSkUMA2lxHBGsckK9tigQX/xIfq7eHQxKNXEoEMK7HOOSI0H0YGTSgvjQatWhWhxO
TnkbNSdTIo5gfyIAtwre5u7c2vWmwiBFWnpxS3mLb8rHQAXPd2/hRZGLs0rMFjBavFbaVD8EsJpX
cvFhldIwOQVyM7EawXFh8WtVi3OL7tB1s3i5psXVRX+ffeINbJHQppOoop5yEY8eaBxh6S9v2C+X
2OIXoxiV8DsGMqe4dxdHGdfNQ7l4zII82dWYznwMMGTULVB8+NGSxZnmSdYVY3GrURlirobFwVal
IJKr+bFYvG15Tau3tfjdeoxv7di1q5q2y5RYDCWQg3kwcMcZzjhw4eLMj3eOqmOH9QI7HZG2i7UY
7EqcdlC4OipX++NMOSbPBna8jKwa2y4WvWwx66nFtod9jrbzxcoHqOKBST/H30ac+8Xu1/4y/lXZ
Ga3m3lgsgZFrfMhI1/YTbkHDUSyZi4FQ/O4lbMthxyLEkHSxGtKk/NQt5kMlQ8s8Na3zyEQTQ122
kz7ACQ/jWQeoXOJe1Bcbo9bm9zq+RnBK7SrujUuC41GLtNDEAVkH/zLaT0C+4i/E6h/Vv63+z//6
n3+JuVle4g/5x/2N9AUBvUUOXgwLf/cUmAgv5Gw9Gz3uz54C6zcDVCD1Ft7vstDf1WqKNmgZJiYK
HgdrgfNPWQqI8f2D+IPAZILfIQalIz/5CwPxz+JPoAaJOuR0R/WL5Qb/2vSZSuc+qHCq2eEOQO5T
Cy0bXFRoCfUkF5D2UAynOsEtyuFub8HaVtlPgmdiTV9MzdwdHLeAyw0qANQJLS6WTvvfgu4mQ1Ji
ZrbvEzbZQzT132Vi3HWirNa2Vh3bvDvCl+ap198k2OZ1khk7bjksMTmnB1tM903Q3aa+sx3j9qjX
jbFGcee0OTTHrpU/J15oirxHqTHjNbDkLn2LozQxBGegxqJ5HG4sf1DH0iSARrwRAIVOZKCpR9ZR
OSJWZOUW5yrTVOCCnT+M4ZxKjyUiizj6NDtOfK9RI7+U1z6AeH6pIvO9mc3bDpNhZh5y4rWtiYmH
kdOK9eYrojFjoywJgXBKzxCp3rx5YMonGhOOmXrLes7sg9tqN02e7VuFFMJNIHTy7qER4uppQbUK
0sfWSz6j3rnNBdMou+kc+nGM7OBN4rUbKdQ0TaZ/+bjLWxuLvc0N36iaU2Xgnpe9fmS/+9RUeQd2
4luP+ktNjeXGHjTCRCzJRKJ438bbJAq10kaGutFUHMpCw+8Boo7uTtBYKrskjQnzsGuflCb2Lq/g
xTnmZK7eq8kNPoXXfrtW98ShYeMoLp/g+o55I3EYxvd6V++zYd71DZyWaqnPmBdknrpT0ntme3hL
NfjpTNK60IuTH4Yb84tTzlszcmUMIIMBVDIw67rrQWvCgFWPTG0I92bjWN3KseZnAYt3Cn6McRCa
FVfVVP2oO2QOBIdgNTi+sR41SioGfxKbQu+3wMmjcBiNsyljpPCJnuHYzrfY9bHja29OYp9HO+Xv
U+O0HrofqW9fSkPflRjjx8m8AG+hSNOlGQVMz6ZrhrWezTdDxqWy7aidjtqwNexjV9SXuFYcpTO/
2na2ebELHppCOzVZuYMX+MYtk186mwIATbbKGexhE3dhZXrlGm7Clb+H4osiO0b9+GG4odkD/dO6
L8cksWg5yV3sECwh6iCa4YQfF8aP7m3oKaEmJEl3eVAdc7wm2lyf7Rz6RyUfU22GRGTDysueZSTe
nNE+jHZ3pEf5nSsR1MTE3Dej/QU+el671ZmuEDjkTYyNYKAgh44wAPfrKBWfVa1CUXUBjQfyORlG
Zr1BcONU0bplmmLGTP0ZNONxDanU3vdp89zM6e2ccCMxOZtpxrSzNGen9+VzXZcfWZR+m3l6qg2y
McGofcsISgyO7Bt4kluJvtrO/k7zuDGbSwtuX5/TIfms/fFxgB60mnnCWmO+L3BD47vNX2XeXLKR
pJbNVdutoNxFBuhOVzSwQ22De5/brX1HO89+yx6dFcnJ62n4abylbtn9LMV0wrr7bSTt6xTNO92d
D710tmWGlS/FFN60yJ0xFURxTsAmCuD7+9W7KpsXqg0XDnSzz2p7N5jBG6mJUw7KuqcuWK89b+Pm
6QXl7JoFJFyqkr61QaIozuLMJynDwE16nuZ853j5VUTaM7moLIwpZQkyG6qn8ZL6TYfEkcTrOLCR
OfqjnQo9pF3+Y7JMoNiOA25KT7jgd9fZtw9x0tpbblFkm7qrMeifqYmKNEG9H1VNDQvxQMGvxyrv
OfTxGWMIk6U4WGIm5TQdvYyDdZvl1zRVW0DbW2uaDmMabZa5YVA0LyzwNKXaoVfZBzECb6htzCNR
2x+JtTxzlHtSdfTku5w+6/GHXmkUixiC71X3pMUlPUIQ1vW8OhM5Jquca/C0KnBqHjlYp4iPswSb
5Ffto+Za55ayoJU0cCVnib/VJOSw0mC6L6r9ZOlHZfW7JEi4/3NDcmK8ojI9Qnd8z3IO1qkROFuV
T3tvUA+z5e4CmRyt0XzK64lHLEAsxUUHR+giyWuFtTt+1Tge1p6L3LQoCuWcvtp+02woR6Ffp0b1
qoqbPC8/Jr3dTV5zzZQejkZcrHBHsWqnarjzlqSXkWeYrYb8SJzhW2bja+XMW5zm/Eopm9vrVnfW
NTQPG05Rb87vwnSIcsQmdCYGK+u6nQ95FYF/zY5xkq1ddr4wljDDbQFXTQX4Iiofnuo8P6WVsdOV
ThM84l+cW/cguC96VV8CO31ySuBr7E/rrqYSitsmV2huF92AiFsbXwq0/2a0yGJ2XDAo2rhKZX9U
YLFCXzrLNo6FBjb58k7oU8l3WVR/awMzjYwaCY4Bw3Q0bcET0wO2mDApCfINzF5+jF3yYs/ebmjL
nDNEvdexdqxsb7pDzL6JIm1vFt3dGKR8Khp1Q+P7LHlFrcoPdp3uvN6GUwm+K6NkGG9hsI8Cazz4
EvJaXFt7xLL9LLxvpSgr94OB8XTQhb3bOpukpW7bAUCE/kFnFp8E3N4kgdSuQX8zR37lzkQga3RI
2TtlcVBVyz6VldC+PHmxmmgnCGFBaA9drX3mMnqpNH2fx2g8o7wwOPsRe85LZ3afllYeAyqZAe1p
RMYH7dibkfE2kpZZyw4orDn0+ga8Al79Ab0Ks9lSai0YkctqZzSR2vZx/qr7sU4gzn/LGoxhotDP
Ud6K9UwgrZmrO78v167tnOvMKBmGLbUDo/Ecix8852GDch8tyLgxpk3bi+I7m96UVZVY+kpjNaeX
R0EtHV0Qq6mPzqfabh1X1nereopUkV5EN78gC1xZ199jhB02vPHV0dGKhsQEdjdUT9G8vNo03XQE
RzgsWgR4W8ikQh20tDxljv9iV41FzeESfdRdrKapg4fVRXWoEhpg++pjLqJiV+CC0qm4DbF8MyzS
UaqcYawPo6pIE1kIW45gvGdMCczclHpZvP27SuQPuKpZQETBOXACUhDZk9zWGSHTJBkapk56sDGg
3BJIbG8imX+laaQ2rstMMmjkU9xon8HYvNQTJ76BgvodcXv6rz37Dqrfvi3Lz6aIkwOVg6hQFvlk
BCTSYlkLKV8UydYlOev4nQPO1Z5pbEuHjc/gJBxVcDFak7177KJNIlJtW82mtq8jZnPKN+NtEjnU
dXEfRTHMVjplIxZ1B5hkC3ov6j70nCblu03kTcguRBC7LU0w16b0j4lmbPqG02I7Y/EidKjq4Jhj
gALjF/1AD9kpSwfLrNlcfTlSD3r+4Cbsdx04rYUlsbdGtbEcZmzkwuUBs9IttkrI+pbdhbRfG2Fs
osM3knCIWBQ5sW5aDFCjCe41yNDbguIjDfp7bYidMOnt17xuHtD6352WDJEbFZtuUMHW7EkDFMV0
JoVyqFAl6F4jM0bUhZgYS5qRVRbXWP/NFCmA26onp8NunCFlFdIhx9n6Yd2qpyouzgps+Zok2CeK
SLqjVOK5JeQKzuzJGDFbItftLbu4DjrBVoas62HA/mdgrp84e/e2+axmOIqZdTOy30VcjeOZ443v
LgwQxPtixJjqjxWvlDEqAT2eFMzAEL7XfgUluIjvKw2olIyvgn6BHaVtzU6vWMhmyNKGQejJL2vQ
bKhqY0siX59StcNwVtBgimM58tLyBVzSUZuqF5tQOclJG9D15NxUtTWdiAC81hphWX1oSEqnZONH
vfnuivQHxQLXgAbltVOIq6OrZ+7xnD7L/sPs+mfHEcXWt6Mvy47zs82OEjeccqt4Qs7VwIDOmEDo
IGsY0ErrNZv52Ww/uDp2+UpaIw1dQGxkKwtr49sUFxRa361nW2dU5I9EtipsIjRFMciwszeOgcZN
U/ouV7Ye87eXNFtLMx95aucH5vR+mHbpnQYrHeul91Nm6SfEPcmgW9yWcWGto7x+y+z4qM8NNl3o
eW2bboxZbphcgEIGbqXhQhytK01+T40OhDHvUdY169GfsBQCwB8iVHndJ4Y/y+/WTnpgB1wzW/9k
kp9fVZz1dXvTl9HRWt6EJfEyWNFh8v15E1giRpiiQSfm8hPS3ssXO6L0Q1GVROXgV1/IkTFSFW81
t2/XTTMxIOLPo6Vryad0qaF8yemzx3xBJCDg383UM3lLT5OzNDY1VDdJe7obly4nA7AM7vL6rV6w
AEvnk51M3y1eQW32tubSCoWWyjQ/IgPvLJ1RZHMYTy09UrKumr3UMHy2Jn9Y03yjUzvlL/1TCifH
Llk6qYKGzJVXsALi6PmZLc1V/zIeHvw0/7WOAyfkf/87Is5j8rf/Lv/CeujzKn9IOc5veLX8X67D
xUjzdyUHNptDgSH2Gs83kGv+sPHovwVoOOaCCPFMxGde6w8fj/6bYdmL+GJx0vCQgv4Z36FpLHax
P6dDcBEBCKFm1Sf965Jf+X+lHLjbdeCA3tib0DkBZ0yHqZKuRzQELqTnaBP5g9RlTVDZk2tU7aFM
9JEnKPPaLcVojIrrnHplFqtjBPhsXQUFvmHF+F/YpyjS9Y0dze8jZTAHTyHGpCQ6QYi2F93PDCKz
i0lonLGzp93R9KrmMFaudmQ8b++qWhvIQ3FH5C43b0SfMKfztpEws7CWsMhIkZrUMw72teH1Ya61
1hPsNmqrMWckmv6sJfg9Wp2Hwp2HUzTR+RxHafaYpfmta2ZLPahnrgOQ7u81L0vxFBVCGbZcc9Mg
PnnrlKdsmwtPnougLF7GheEum5QwF1MToFO8IijnhfdeLOR383cKvLJ4vFn7Kb2aJZT3jZKA4+tz
fA1+QA3Qs/cBf6fOJ8hHNywL/hAwCxoAz1PPZYYMwDj5wqTvpm5Ped4zpc8WduX8Xo0Ojn87eZZe
f8GziV0gG1nlFyBsPYJCBjawSjwQGiuaBM+Q1WpubC35CvQd4ZqEfSBeInM4ANXw6nxr5IVWZiEw
KTXjppiscVV6U0IvJjO42aSHE2vUipMAySC/eUdxuhkKtdxrqPxKOJfzL5acuMOSkvewiLGm9WCX
VXrvt0pcCsAyT3WOpRk5DB+Tl4lt29MUgp2++hmURo2bRop8Q3TNPvSqIYJXJT1LnCoo2cJjPcd8
Iswp5d3Qwi3tmGQCglLxG/YFzDwp9/WyLuhz0LLP2WPsYU3u9BIRe2K6S/5hyKXzkqajvo+Vrz8k
wdxdhs40Lllt9V8a74g7+1htzLZZGsQR23stZ0AZVNoDJZbQBpis0tAwpTfCotrJl6I9yCJ/pHGO
jomnFEpv7KXqq2AeetM5HoPNxknzV4ROf5+1QCbawqYGzgdzHLn1NvCzp7jyPiMDOcTJDWsdz9Gj
Rxw7LFxyokrk9xEkWfoSB2mSewoGa+NU+YuRN7Rkur62JnuKfSNGTmtS46fSjI9Eb9U2JXL1oVHQ
7q/QECJ7Y6dIrtyophHMiqlzLKceLYvG9KNRhnNnBuMUr/5Vlv2Alfm/XvZXf/sfIvn/ANUvr/LH
su/+hkUSSr3uLiv2YtP8Y+V3f7NA1v0nkP5PcCiD4qFfLFKqf9zfO4n+vvL7vBD5RR/3r2e4/5zj
/JdD8x9WfhuqHWwo015giPx4fxbxxSTqIk5BxnPmvuHizpV43rpQk30O90neXx3kXwxS85Gke7YS
MqnCjCsvnMLmOgQRzyKe7VXts6poqGJ1oeEPwxBdCONejzTu/tr0gq9kn2nQdVlJL80cj5vZ9+lC
UWuGy9c6d+6nKb6SEEpD1CzyZ6b4wKi2RkRgKufN0SpzhiMLDMz1aVzqtmBiOCJ+a7ACrPwh+h7L
9iavsM2NFTVniBCdxWXRbrkoFgFyMB67g56blzzmDKl5nEsHzoUe7bFQQ4bXFooDQwCr3tdluREY
IspfJTtG8zSmcbazMDtvnBZiQxk4pN2F0WOuSKEHK187s+q/MLSvnpHJo9B0NXOj6HpjzBi7q8KL
1G1jCWsXxMVMWGpgN0TY25IAn1eGY9hbp+kfrGKi+LVw0bv0Mt6rhNu0rWTGQ+/OVKtJ1sSMaXxR
4TXD47XLTSJ/BGHAudr6T6EKY80qzD4EB9/j/irmFDBIxUXNJAW+DuKUMhrtre+9dpdJ68kqvafY
HhYavI0wWoCB6YEZKnA3CMtY6CDk9XFxJ6r63IFhXhtGTw8f5rNIGrTLxWzjU4Bmw1za7N/cjBIa
0BIbDY8rn/uFKpKfcVScIa2Hvh3fenFEL4jCjeM/SlF+tQuxypq2yTS+26Z97Vr3ro6NLZ1813nG
x6MnwU0Nlb/wuyPfpKfAJYCoVRiSgjKco/5zSHOqSZL7rrSf25gCWJtcU+ASAjMOQ9AdBkACzBGG
rZb6u9SZjq3L6abTy5/Aoh46hbu1WaxSfCc+UIQAgAECNBqGnG4wEoKnMCEQIMHYwi9DYFyGWnO3
RBPqvdnyOyHdSaXIlDA0IvxjBGz2vbwOFSeaOo7pUCIItx49j1Qqcplrv5VuQTfS5Fy6ljBaPU1P
Ol6EyrWPehcd6KDdVWZKAwqRWy1t77tef8mnEgiX7QqmVME5bmBmNZ15V0vfChsgQTiSEmTkKnWB
zsx7DRhjLUrMmwyOrAwNLXIy2CJzzv2iVv4mK0sMc4HC7DanyaU0sRW7XoRxeSGUJShLnBSi/MxM
6C3Sx2OiajiXPX3tFeUOFqOdEM7GT7f0EIF5srd6jx2hzMGMZ8nwMWrGz3Is35oiuCAc0hQYSxyy
KciTGvNXG3NzmgHlz+0Ji/pTl3drXFbVGsL4Qz2b36VGUXopwQfl9THT5Qv5KX9FxXZ3TvPqWOjU
FrFNb0kixiRDFs3O99oDQp92C2Gj33CFTULliVtTUUOjZoMIcfbeZdqpt8DZ26rIt8VM3wDHlGHt
NVSNtdyDRq27sal5CjuNRGy1tM7OdpJSHFUcdcHV1BfpcB2ruttavQ0FK3UgRdX6W0t57Z0wsZ5l
KWquwN1HHpoBuohRS2Jctpm3qzIboQDOWKjTZX0yslySCE3LnS0sqHGumu8V87qbFMvTCyIPAoSu
B9tGgCIIahJ+QZCWkLy4Ehf3hPfoVhWu3HisDisnI3QZd/JhWLC5hs7Q3/Nzd5d2/bWEqbOeEtOB
FkKhWN4aJ8NJy5VnzW8jOnDXLz+kRh55oD7Uc/qfZjce6rnjhSzx3TfBata9i8TbLGaxl0K/JnTa
H1mLMQo0/rkp0gdfp09do6dH1bftxNRJghdcVTSsrhO6OaRFQ0kE02DjGR0typy5M6/WQwNIKxM4
EB49oVwEWd1nELKY6tr8U+R47YrMe2iq6ctlotlDq8e3zc1BYCFaox4ZLODxDpgaEPukn1bllB71
ANJeklcUjFVofbBmb3RnPskE0cpU7cTHZn7PQfEOCPR5jtuXOOruhn567wvqWQiRe6tEM+0Ve5O5
T1lZmSWb33bsiitEvF828z3XaXsxcX5kFY4bNSbBrpzYx6gzOfPgBLvK7147W+9u5lZMOGL5mVtN
UShrduRv6QUPhTFmHDRJEdF5hx/J7K/Uq+Pzn0tjMyN/rqqsVusOPtO5VsxHe12/l7kxL7a7/KR3
yGBuLsewMAkpSqrO1rRnueFczNpBGe4PrJ7x1kl13JGmboRD63+g2hiPUz+cbEdhUFQ2Gvdwnham
mRSBv3az7IEb58mwGgBB8yOUuyfd7jkLmynqRt5/63ZwVEI/VEGCH3wwnoqWv8Bxmk+7jG8LQtOe
F7zHtffZEdLMRHWy2DjGanjnnzWnzesctNdCyBThpbz/Vzlvcn77i/Pm6W//rfq39V9mhZYX+OOo
Se7HJJb1e+hnQUb851HTItwIGtR1qLrUPZ3Q1n+IDHhCIFIEBq4Qe0nzLNLAfxw1oVMApl7o1Cyy
C4f0nwoLMSb+B5GBV+GvRuNwF8dIYP6DX6TkMRWT4yZHcJcR32B1RoHTw7garZPUQRVHUmQ7YeIC
gZncMO7ugMjgt9wEsXoJWIZXIpsexERYWQAzXOHnZ4Ex6/u4xibWgXvKXIArjBqfSplkB59Imt1l
3Ijo85Kjeohn/b3CqL41rVKRtanfzGacUdMCSWGzIDpvEj/JJm2bahWNZom/w2B6VwCBiynh3hCa
jNZMzuvtzEa97uwIuBlPWC+6ZGPFsb5qYZKGrmF163GgdUVZ7bOXGITqFSLmMNJmWMgXL4m9/dRx
YNBrvH0BlEqSNgS66xTSTBOcqzoOdmM76dzAldw4xfikUTZ2ArZwwljr3adaJDEpe2yCpa0OjVs2
61SNPrf5iEFkOT74ZUINUoF9TCbNDyHjt063FGmGknaNzu1WhZ1/zvgZVviaBYdFI6EnRqBCWCga
QTrfOnlkMai3KIpBvAwNv7nvR9/l2u1PJz8BjUlZ4KrM8OmMjtw5mnfqBIKsdJOJj0Z+OM38VJiC
TH2DZ1a4BKMnJtVel0ClUB7LeD/dum71mHrLiNDP752uE0ip3rZ06JxsOg+QV08QiTl19Fj2BpuL
GveD1grwe8ZrbJP3bmfnruvy4GiMquF9tMG6CdTegeQf5ljadqqLiBVp8JtG/26kDWBLDKbYiKi1
2LiidlfiQAfZEW0GezLeZd261CC/OzqGADCQcJtmhNYm61+7Ki5D3LgQBukJDhufuVQvxAkZzCMF
2r2LpPkqvZpMSCef57xmdDSRGZktiaCk42hoqpZUPJ8yjIcadR0TiGUPai/zAnJRC3V2bFR3gzxR
0JrEeA1X2LxqBq5l2ED4XLzggcAfandtJKeh6B/siEGU4z+rCfqY5uaX0m/0B47OwVbXkvGm8gcP
gkkkVhpzcy48uXsqOIziQoT6Msf6bdRPfPoM19e8/ydpGtYNUSK17zz1SRE2sfYYQyTbXrxOLBuM
HrzueeCYVHZ1ckiCKXmDPv41WXVog8TAOVtpN0X7wmTWcrRLSWHhOoDTdTdMnbd32iDD42q4q14D
ZWnVfO215GQUTBw8dalrrJtZfWc1GaQPvjZOm4KO0JLbgqjbk9bwIaaojo8kiB4matl3YEfuceSk
X5ztkrVGMHblt+1nZQz5pgMRtkGleUY7lwzfzXkFwTK/JZt4P7jVRgQmwBZ354k+23ep/ZJ4Y77z
sjnYKoP6eFAMd8AtyrNjUfZslyT/+pgMlmLnk25zFR4dqO0cb4zBLLdjpR8iLX4gqqGtuhLqVKNS
ppZCfBuy+rQbyRek2uixn4c1BmpXum+B3b1Jv71GtL/DhuxvuPHfkwi+k+Z0UQXeHqXBpfH/L3ln
0htHkt3xryLMPYXcl8MM4KpiVXEXKYpaLokSReW+73kzfJiDYWCuhi/uvhhjwPBgxr50H+agdn+P
/ib+BUuURDVVVE/VoYHRTSJVURkZ8eLFe/+FVWY2/rOsetEH/b5KW133kQNsE1KMgBa1wcEuvSlN
7amRxyewA47JWGdhTWQd2338J3DZaKIDatDckDrxCIMzAcd1YFEOo8NVNBMAKG81zTzy3SFAvwtM
WE1R0tdem4O5zIpkrsn0kPsavFAfaPW8B/U01yVSyFiKCJYQwgajjcnsusNQ4/4XEaJ9BVk8Yk35
NtNLZIDjCgBzQduqIEuLfNhWbippqEunOHLXczVti6Wu0+5PQkgzvVrrC0QbhpntmQvbU+t9ZOP6
A8wdmxlyG93UHj19gtGbthcZ3bMuhrGNlxZaLYBmkAh84RrGmempON6+6lqnOTXGhA5QnQtSme0u
4OG/7mH+zKJSOUdSHdvvgAWkqaM9C2UsVGFDzhx6YpxIPuCZ0EIRbxiWmlnPc4TusmqmjTgWRUdB
5x/RTzxFYPc0EzAGaAMnjabuDUl+bCuDt2claK068os2y5VpU9Sw05rwig5jjECmjqrIGB8VmYED
kTmce5m079UVaR/VVdbsUVX2SwCJy0qJMV3r5m4wMru6fVpB46OuOVdK6VXBWVn4kTEPu6yflI77
IoSLAzaofy3lsMLawaRrOTD9rgUCylqoaN02+BODy4D7lb6sS8KNqQEo0ZQD7iXCm6k8liC0HHty
toxtCgmRjJBkL0d0WasWcWFit9kCg+qMCKKnbrsvfRsppgHe7vMIouyilFx5rpnjm6ZDaiksc9hb
Ol3l1M2bha24T1VKtJeFBWZLTdxlBtpkb4xjayqP+ZGGS+dekVNHwSfnrQ6eaWbZ0ksTTa2Z35fq
SdsY57BYz91aKmCV1OdhJc6tPnKeAg0rjul1vQKgDzXeZF3XtoQdgLhyeoKL1/tnQaFa9AsxCfb7
y8GyjrFc6SfY8ShalS0a2qB4/7ln1LWMY1d1fZT0SgodfvcSm2Dq4a1CkmLCVpBtFHr13jQXdQpi
zxb8rtruzotUhZjSj8WiSaHw+HKyqPL0FBIMn9Xb1bGMBJxk5tGycd3XTRRbcyLVsxbzgFihJu7J
bb+M9TaZlRmOonjDTi0FVJxakskjFXQoa9JIyxgcnN+Y/UmW4G+cWC33qVp72+T6OIGsBrerR7+l
jH0Pq2orP2CrJnQnpJizBOfjIu2PcJS9GlTtWTYaDCsBazLgHp84VDH3sR/sKXuh4Zr16Z7TlDOW
CpZpfv3M9OxlrPXtUUIZGykZJxBOOBL9aUrQjRzPkWeGv4nnEV3G0ToIPQqJUapZ9CfBsssECFtv
9+vUPwoSjBlJOayFhG5Xp3oKIALrogi17Ey1mv1sNEHvquVhLtFMKMwqnPr+8MKU4QciSTysENuV
Z2GHeHaqlfEZssyEB1BI87GWX2uoQMz0XMqXnu+c2sBtLJPuQdOnFsKPcU7LH+pYacnDfhWouMSO
SXRAYYi5rrvDzGpe10H3ZIxLc0aLCGIMd38QmnyH3O5nfif5Ey2SleO/l7uNsfFuc9bg+koL9cR7
h/nrlzX2xKfcXnCcx4qu6zbqevhLqfYn6i22sHZFLg+vUTyfRBn7touK4gs2CnScTMT36LHycbe1
dCRfNFX8L+EuBsPS+CVdVLRe7jZRLW5QqCBgtSXT0VWtz5qouhF2fhxZYB2p7UO8MTJ/XvSN7ME8
7aHJt3GfvoJIXkpTzA0j5IDiHlvBdhjxunSojvegS32IRjjzrFApCFapmXLGwZxTl+44Qty0KXtm
87I30TuwIvsq80N05+UOKt7cHAwNBYTcbaoZAI5BelJaaKFOQxuKGcp2oHFnY2rHbyHb6PbE7qL8
IvepSs2tuO5fYniJKfWAdsRzvMtiUiGMkEIrTS5aQuzbrLfr5z3WWd1SBorla0ltn/axPlwXjRUo
SMkpqT8PubMME81y+5dRhWhrDAX3VZz2PUXWRmN/IHRA0bJOnNBAaK2jtmDQ5+viWoHX6FDZ7iWE
VRH97V1lmpR+duFFbY58VCWneOIGjpLSYTSRky9yCcP4ILIR7Wo7JLUmcNdSwpOlqM+gzAMwQ6k8
exa5potmga1W+5LnOsGktUIM4uso0s2pQzH4IVOuz6+5LANwd7aCZBCiHWgG3e2ohGYb+M2IXB/p
6xv0Aed+ErxCh7iaZAanm1Y/+aQicI8UzL3j0V9CHkQWQILPBFkiGk9KzYLch8enXtujAN74if4s
93VkwBKlm2lJUj//OwlKsGM/md7Zql49ukYQsh5OVsn1b3/zDw+aGd58wG08Mh4TN3T89WQKshYo
jA8FF/2xZdm6wVZX1TsFFwVUB/JLVGNu5Hvg6HyMR6A6bNHbI7JRHtHsX0TQwUnss4DEp9C4B1hC
ZLQsy/hsZVSDAa0uRqoxLFCOVwHn0SqBopiZDVKESkkONpRdMWvqggK2XplLJHCtJ0gXZTMP5Bqe
9YZaTyNEDSDk48caoPkPgwJ9XG9ceml7oSZJAKMaqHStDPtWq15JHlisWPEtShr0+wLRkdZHnDBo
UVNXRwzUBVBtAzoXAEug9LS05UBF2ER0uVu3eM21z4a4RikXd74LnlqbSqJJzua9cumaO3TP85Ds
txQN9UC01uOoITMW7fbmpvOeiCa8L9rxIX35Ub/wg2YO5fXCDqVyPwQ2MW1FK98VTf1OtPfNwXaf
tqLlr4rmvyZgAJUABHgd0IBIgAQ6ARcIBHDAFxCCwtbl5SirxvNRAAyoFWnITNXD8zBKuCQgUUln
tVwOAprgVR7SAY3rvfRj0PudgDA0AswgC1iDJAAOmoA61FxE562AP9BvAwghIBHuDToiEkCJWkAm
ALOk8wK551kUSW8tpQleEr6LiH4O+W1j9MpU83XplWc7pzLcIS5RypOqyMslhXF9gTo6lxlFgpLv
G0ewxCYsHtx3ucCeJjhcTSuHCpEpDa88crVpN8Izb7L8KcRNhEV6TzkzRKeoSTDlMdUjFEQtIHgQ
5dMhjs7KWAkhj4B6xsukOrB1TKVhquD4bRTe29goDOuyL0cHedKmX8S4fr/N6L7N1bhXLqAwRO3E
U+xrzR+pfXGcpsE8y4o5lBZv0iXSvO/Ntzq2w/uOMAbrwyw9agn6HJ+tdRKnI1aadFsvXcemy9Uq
cfNMHeGXLu1cOSadV6zTBCl/bHFbIeqhiAIL2CdUSFLNPfu7iZAkLhsgEFhjXT16wPGVuPcxabMe
yyRglA70W4DbLQACYWRbRoNARTiZ8jLx67YqrVDJJqii8mFRtaYK/SFIUpUGVumAjwCuplFK1X5J
0mby63ezNpJF4i0JIqVxWSg0f3ZcU+7E16pID8oqyOajJ+EQXfb5YZ7jGq14yE/abrMahaP0GNQI
JQmX6UL4TWO+SehRrEUtvKgTS8MpHUwBPE5/mivaqYpxdVRmbwrhZG1JwxOoQYvBFALECrh0eEQd
fajaq+Fqt4pKu1A9qYRDthrhmZ0qCC+rVMzcPjqLdMSoOgVtBQTZ38g4m5I3Ja89zLdpep15mHGr
JeoGgLTDGVeremaqYDh8ZC4pZ9P4NDD0HvWio5YI51rKQHJ5Xnft1io2XD39X7luFrQaD6tYXaB0
aALKw2Y9sc6aCORBU0urQo7ehDT5FwGhi/Jht/Lgm5QZes6d5lewhbJrfFGdiR87x0lbolfinhho
XQJ7R9gycl4NdkQLWznXYuMystzXXMcSoGJJdZBk7PxKaGqUlgbqOYRD1j/T4uTakObFeF7FNFfH
kJoUufIczxw0XOEe7wWNuVBabMpMG7cpB2eTyj8traVGH9sGJxtGLbdMxXpiVe0z5JHPpdh63Zt0
XaM2tCmAafGCMi6QLDmD+Z3hJmhjLcOF+NiLzRmCCy/0xJz1Vx2iGcU4OHujhwirVqP7gmY8EP5u
BavqgqrjPp6G++mAijbpFrTI5MyP+3FadbQkNa+eBkH+RBKKuUVt43reQ/+J4j3X07Cz0tRVZwRL
ld4nl3ZOJ78LU6g5yIt4dCUqfbgMBkr5pWbI+6PiHceYeUzqJrjQ1Oy0NZWVIuc1Us/04gPkLlIc
ZIL6sq21aY6wCvDn9ixT+quhDLmgYxckfH/C0iyWeAPACrf1V0HIHRlSh4YuQxbB2qdEkNNW4DxE
zqHBFg2qYmfnVNasw8TqT1FhhLSVhM0UkEgyr9r8LHZikHojQmQDvdNqABcagz3nPqBCVy+dVWP5
x2qFjpeWKcf+oKMZHpnPEgvpfkPuT9xcIivI/RX5WrsgpizUpvOwqgr2It7UJJHsNxTJ9UlBzQsZ
MwF1LvEaakWB36dg1cBlouu7QNIjnSSYvMEbGw2xermZG+oheDjlMB2647Qz3xiSsadGSAglUjrT
nHaaVAgz2B1snTilQkHCE8HigcIayM2+KfGxNq13SVa9g6gy0UZ3+3pOqk2pBiyBMSJk5eveqqmA
JOmRQwmwyK91o35e5OnToBJN/7EuZl5nPNGNJiXtsg3we648U1MMAGjgxfOo8dC7wQG9QaFzDxqj
AzfFnEUD44ELI4tI2ssx96tFG1sSNnExKMzUfGmjkxNK1vNOkVZGNyxURBVCtCF0o90XGtUaquNh
mMM5AveoGtEhLeKDMUF4zC77YWZJxirUoWPJOWe3pDiHdUPXFhBwOkUVXtsjmhwnsD/Ydipi8YaN
opVXPZEL9Wnpxv4eZY9kL+4By5qpuV+jlDKVzRiDSjRicGJPZhWYYVSeI3pdsGab2L8yCipaTVDj
s01tHrFpZ4CV1SOnNNFGsERZWL/ijmfNPAWwVw8yY69ji5mOR6KFshHVe7Q1iZ60vxUMUTJQBXYe
nRpx015y126PFT9cpj5SLaUbXhpmQEkqR0ksbcfnmmGclw74LXMIoYlQIkBPQT7QI+7REnsvDhRU
vMwEgkveX0lqoeMgqJw0ZYvsEioMWLI6bNWuJuhAtKus4rDwfISAOrSTRnTqyy5+7spCiLk2njqu
8SpPC38aADBesq5elEKzipYNRmcYnoNeUBdSWK6yojz04Q8NmXWKFWs7zR153tbmG8XOL1tUgUYf
Yf6Kw6cZHGh4KDwjKHsR07lPOuugGsaTxNZWkZUXUy75pNh9MY1lJZ5WBeDYETujVKIh1VE5N8d5
IssHmGefKgo+eBJeHHjQ0coyKveJ3IC1sb38uWpU5wSSelL2fFGlNS68gCNE06oKpAnMykzmfKki
uDBIibyp/QidVvaDr8gHrjWcJKGDwrsNSMHV0n3Pqc5NzzSnVakQK5ImAq2XnciZXJzkbvlW5+sd
SXG5yrUBXEuow5oyHHsmtfJzyE4QJ+0A3HlWo/nonDWeOR9j4yg3hrfDSCzPOuXAVTXvSHJAVAFL
0qeRUaJCRCfDVcEsNX156Kmxu2dFxVnReq8rr1IO8O64ojTCxblEUgprEbGpErgm52bN19ByZM0s
CSIP7r/HbdBco593kTjNFScxy7CD5w/OhZbMeK7L/gD2mu5ek9jIkkkgg8Bm5X0F4sI4i/X0kvry
C+5d8iwBdzNVMo0iY5HIU9j6e4ks0mIdr4OaMj2iHqi6RxREoNmfRyn8YyPITyTNRyJXf4ZcIae9
OnRTir/Rfk9zBZenFcyUAwDkQtg8TKaSKh+HaY7ku32V8gomXeF7APQoYtPz38u65kXs5udhTDPX
kwZvNhLbDge5P/RQRTcLFVvQrBhh06EHVFnGEubokT/W+yaK/SgAy3udkR0oLaC51lqkpbALkixl
pjTKjbBfvfCymsPdRIRHacWNLkITMUUq2yRIm21Y0uJCETPH6SYf8Bg26faidxj59Mr7dik36Guh
MXKAn6+6GKTImUSd8TprsmQmu9wzbX7m2HC7JTND7hD1IR88Jqa6WXcVIcAPzfPMrIljJQV3s6KR
Fxf5aaaI0pjfXfq6ejUilAdwm2KULh2jGsMNKYMBmZnKK0fl95xcf2ZVmrOncTeqav4lGZt4aqQW
0qBGlgOsDAJMjztaOaRre9ZoR4soRzwIpr2eVSatPaiXXe8exEbszgKMf+YBLrATOLCreqRrV5NG
hS28TLW17OMokY+7Pj9G0v6wg6ZlFPqktkwklR2X2wze1AtHUqq5mfvOvltmQpmmesptcg+a0vOC
qZqqLsoutDs8gAn+SeSG5dNIc6aeHZYLU3a1c6lE81RG/nJSKvg7D6g8mE0+oLWvB/MYbaClPCIb
33ZQXfMeCZpfz/3ovSa6qO4It496OGuuy+H8GkhpXd0KdIuf3sgrX7BH/5Zf2vxB78tKF0NOWWn1
BjumWVAhW31VczO6GW//zW9/I4AwBmy5z25cN9/r5ktv+phYJELNGz5fMR/LiIbTy7Kd9Z/fPIqz
1Lv9sUx5HHCPAzbg07e0aQo2P916Ljf/zp2vfpU1aS3egRdk6aczoBpU8e9cN7/w8J99wicPD7EK
BhSFIIUZ4A8feOfhLSpuBjAmGxD++seM98ka+dIq2Px4v3gKvrgIPnpKf16b/MJUfPZJH6eCy7HM
ZZa7tqhIrp/1zlRw4za45qoyd+1f1yRYYM9sleL216yFL04A1VUNPQdZA2t27wTAuZDZCLqm3v74
1zUN64AgekfbzQMFFJMKiSnMyO+sABvmIHcddsRtoPh1TcCHzWBtuxaANqqU0SlWfD4HSGSRoJsw
K39tu+Dj06+/2lqW/0Oc/iVHgkwHwsBYTDhZ3FkB5mNLVhUZMOivcwWst4DoVmy7BWSCAI5sTOVn
E6CaDIKU0K85BtD92XoCdNpLOqH+zuNbjxUTBTiVPXDz5+v3wFecmR/Sq6kfxG9uEqvgurov//rS
L9yeuj//+Sd5k8ga7vyiyLPWY6+TK/H33905Jm5O/E9+eJsB3Izz/r+/f8CfD31nrNunuv3HZXBd
rsorf7j5wfD+a64biicBhMELH6zDf6X3ghxudzxdwtu06N6c8cNe2DTaD38Ifvr+9+mjSfDuPx8a
jmXxcTZ+lqJ+1XBLnqrZ0Au4fTYO3O0Hu/zhj0zlE//dd1cbJ5IW6vaDLYHd+8GjY/H2sGUabj9R
5OwfnkogQLadQmEEMvXffXu/f9HHoXawOKY/ffcfKWvxx29uv/bdpwGosO3TLPFiYt1vfj8WEgfb
DoT+wnf/HT06efc/X1DS/DhzohN1c9/627fVmvYrNB/+WSzBMmvRpru+/dw7s2juYKV/QEaJ1bd5
tB0s9Qnv7JwnWz2SHl3+3x+FqMW7f39gOd5gsrac1Pev8OjmRW58SuFutO0rvFmZP33/r8HtR915
ayLZ2HYEZF1pjB7+9N03myOvYuxg/V8Q5/9xE1blw3Vq28e6ccCdvPtmE0RPyM9uO846vB9RtLh3
ya+TQp1MftuBLppBHI5nzWrzUDuIuBcle+vyS7v4/SPt4BBZkl789XZmxMJ+/9E7iEUX/oogtHz3
l9WG12LsIMYKJZ0AMOj67dwXD9YPJcpFWy+Bm7HWUX3DSLvYp+++HR7d5IAbxtlB8Hn6I1HnaOM7
2sEeffruL1ePLsof/mnjzjF2kFneHoEXJSfTppW3g4BwO9ZXAZG3PPQ+jPWFJOn9Gt/Bxr0d6aFV
LrSett1PIil/yCrd3MG+vRnnwv/p+3/ZsCTMHWzbmx374MztYEedeDzN7x8BO/1yfBC4zm3fkEjK
N+Wv63UnCmXbjnRzgm9+nh2crF9LjN5yu5KcfkOsu4muG17QDrbr0btv129IqMp9eShRGN72DR1m
3AKb+y9p63Wwixva4U0J4gGcIDyOHTwPp/lNjvLnTeefwOFvO3PLH//E27nJiDe8oh1s1+U7nuWh
+GPtYLdSwRHkG//dn1Pvdn4+JpC7KHCsR5j9+CcylI0rewebSFzyLtZlonvu6Ou1be9gB4lxHlrZ
9g7W21c6xW4Z5MS5IKLOV2lZ7misk42aFqL0ve1e/eEPvKSTn7773/sWtmi4bzvA9KutXLacs680
ON9ylHW02VSpXu8fZwcR+31k83/800/f/9v91dz3g+1gE60HezgAwf7bek1QA/orh2t5veEId3aw
uNe1pgfulaK7ue0iZ6Bvrh4dcZbfXxF8/5p2sJ3Wj/RAVF3zCrZc6SSnDw7z4CK/r1P0AVTy8/7R
LVjkvv92tzkmfuMqvl6Vv/t/AAAA//8=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543717</xdr:colOff>
      <xdr:row>2</xdr:row>
      <xdr:rowOff>152401</xdr:rowOff>
    </xdr:from>
    <xdr:to>
      <xdr:col>10</xdr:col>
      <xdr:colOff>158749</xdr:colOff>
      <xdr:row>16</xdr:row>
      <xdr:rowOff>117476</xdr:rowOff>
    </xdr:to>
    <xdr:graphicFrame macro="">
      <xdr:nvGraphicFramePr>
        <xdr:cNvPr id="2" name="Chart 1">
          <a:extLst>
            <a:ext uri="{FF2B5EF4-FFF2-40B4-BE49-F238E27FC236}">
              <a16:creationId xmlns:a16="http://schemas.microsoft.com/office/drawing/2014/main" id="{D0CB2908-CBEC-D440-CB2F-DB1DC7AEE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112712</xdr:rowOff>
    </xdr:from>
    <xdr:to>
      <xdr:col>4</xdr:col>
      <xdr:colOff>103187</xdr:colOff>
      <xdr:row>31</xdr:row>
      <xdr:rowOff>77787</xdr:rowOff>
    </xdr:to>
    <xdr:graphicFrame macro="">
      <xdr:nvGraphicFramePr>
        <xdr:cNvPr id="3" name="Chart 2">
          <a:extLst>
            <a:ext uri="{FF2B5EF4-FFF2-40B4-BE49-F238E27FC236}">
              <a16:creationId xmlns:a16="http://schemas.microsoft.com/office/drawing/2014/main" id="{21C200B8-2FEB-1870-E823-8CE9B842A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943428</xdr:colOff>
      <xdr:row>34</xdr:row>
      <xdr:rowOff>179614</xdr:rowOff>
    </xdr:from>
    <xdr:to>
      <xdr:col>9</xdr:col>
      <xdr:colOff>825499</xdr:colOff>
      <xdr:row>48</xdr:row>
      <xdr:rowOff>128814</xdr:rowOff>
    </xdr:to>
    <xdr:graphicFrame macro="">
      <xdr:nvGraphicFramePr>
        <xdr:cNvPr id="2" name="Chart 1">
          <a:extLst>
            <a:ext uri="{FF2B5EF4-FFF2-40B4-BE49-F238E27FC236}">
              <a16:creationId xmlns:a16="http://schemas.microsoft.com/office/drawing/2014/main" id="{AC365F7C-3DEE-08FD-11EA-04D1C3CFD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1120775</xdr:colOff>
      <xdr:row>26</xdr:row>
      <xdr:rowOff>193675</xdr:rowOff>
    </xdr:from>
    <xdr:to>
      <xdr:col>6</xdr:col>
      <xdr:colOff>244475</xdr:colOff>
      <xdr:row>40</xdr:row>
      <xdr:rowOff>180975</xdr:rowOff>
    </xdr:to>
    <xdr:graphicFrame macro="">
      <xdr:nvGraphicFramePr>
        <xdr:cNvPr id="2" name="Chart 1">
          <a:extLst>
            <a:ext uri="{FF2B5EF4-FFF2-40B4-BE49-F238E27FC236}">
              <a16:creationId xmlns:a16="http://schemas.microsoft.com/office/drawing/2014/main" id="{3A4E9CAE-956E-6008-902F-40EC09518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377825</xdr:colOff>
      <xdr:row>25</xdr:row>
      <xdr:rowOff>117475</xdr:rowOff>
    </xdr:from>
    <xdr:to>
      <xdr:col>2</xdr:col>
      <xdr:colOff>936625</xdr:colOff>
      <xdr:row>39</xdr:row>
      <xdr:rowOff>104775</xdr:rowOff>
    </xdr:to>
    <xdr:graphicFrame macro="">
      <xdr:nvGraphicFramePr>
        <xdr:cNvPr id="3" name="Chart 2">
          <a:extLst>
            <a:ext uri="{FF2B5EF4-FFF2-40B4-BE49-F238E27FC236}">
              <a16:creationId xmlns:a16="http://schemas.microsoft.com/office/drawing/2014/main" id="{89075771-77A1-9E7E-2B9B-3D7E90B44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514350</xdr:colOff>
      <xdr:row>2</xdr:row>
      <xdr:rowOff>38100</xdr:rowOff>
    </xdr:from>
    <xdr:ext cx="4848225" cy="742950"/>
    <xdr:pic>
      <xdr:nvPicPr>
        <xdr:cNvPr id="2" name="image1.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514350</xdr:colOff>
      <xdr:row>2</xdr:row>
      <xdr:rowOff>38100</xdr:rowOff>
    </xdr:from>
    <xdr:ext cx="4848225" cy="742950"/>
    <xdr:pic>
      <xdr:nvPicPr>
        <xdr:cNvPr id="2" name="image1.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twoCellAnchor>
    <xdr:from>
      <xdr:col>3</xdr:col>
      <xdr:colOff>873125</xdr:colOff>
      <xdr:row>2</xdr:row>
      <xdr:rowOff>53975</xdr:rowOff>
    </xdr:from>
    <xdr:to>
      <xdr:col>9</xdr:col>
      <xdr:colOff>149225</xdr:colOff>
      <xdr:row>16</xdr:row>
      <xdr:rowOff>41275</xdr:rowOff>
    </xdr:to>
    <xdr:graphicFrame macro="">
      <xdr:nvGraphicFramePr>
        <xdr:cNvPr id="2" name="Chart 1">
          <a:extLst>
            <a:ext uri="{FF2B5EF4-FFF2-40B4-BE49-F238E27FC236}">
              <a16:creationId xmlns:a16="http://schemas.microsoft.com/office/drawing/2014/main" id="{33C8AFE5-D51B-E1F7-57F1-596439877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574675</xdr:colOff>
      <xdr:row>1</xdr:row>
      <xdr:rowOff>41275</xdr:rowOff>
    </xdr:from>
    <xdr:to>
      <xdr:col>10</xdr:col>
      <xdr:colOff>733425</xdr:colOff>
      <xdr:row>15</xdr:row>
      <xdr:rowOff>28575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76E704-51DE-A4F2-DC8A-1A0C4F5D4D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15075" y="2381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492125</xdr:colOff>
      <xdr:row>3</xdr:row>
      <xdr:rowOff>161925</xdr:rowOff>
    </xdr:from>
    <xdr:to>
      <xdr:col>7</xdr:col>
      <xdr:colOff>650875</xdr:colOff>
      <xdr:row>17</xdr:row>
      <xdr:rowOff>149225</xdr:rowOff>
    </xdr:to>
    <xdr:graphicFrame macro="">
      <xdr:nvGraphicFramePr>
        <xdr:cNvPr id="3" name="Chart 2">
          <a:extLst>
            <a:ext uri="{FF2B5EF4-FFF2-40B4-BE49-F238E27FC236}">
              <a16:creationId xmlns:a16="http://schemas.microsoft.com/office/drawing/2014/main" id="{62817BB6-AA40-145B-FBCE-6A0DDCEE4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sheetViews>
    <sheetView topLeftCell="A16" workbookViewId="0">
      <selection sqref="A1:B1"/>
    </sheetView>
  </sheetViews>
  <sheetFormatPr defaultColWidth="12.6328125" defaultRowHeight="15.75" customHeight="1"/>
  <cols>
    <col min="1" max="1" width="20.6328125" customWidth="1"/>
    <col min="2" max="2" width="63.6328125" customWidth="1"/>
  </cols>
  <sheetData>
    <row r="1" spans="1:26" ht="15.75" customHeight="1">
      <c r="A1" t="s" s="72">
        <v>0</v>
      </c>
      <c r="B1" s="73"/>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t="s" s="3">
        <v>1</v>
      </c>
      <c r="B4" t="s" s="4">
        <v>2</v>
      </c>
      <c r="C4" s="5"/>
      <c r="D4" s="5"/>
      <c r="E4" s="2"/>
      <c r="F4" s="2"/>
      <c r="G4" s="2"/>
      <c r="H4" s="2"/>
      <c r="I4" s="2"/>
      <c r="J4" s="2"/>
      <c r="K4" s="2"/>
      <c r="L4" s="2"/>
      <c r="M4" s="2"/>
      <c r="N4" s="2"/>
      <c r="O4" s="2"/>
      <c r="P4" s="2"/>
      <c r="Q4" s="2"/>
      <c r="R4" s="2"/>
      <c r="S4" s="2"/>
      <c r="T4" s="2"/>
      <c r="U4" s="2"/>
      <c r="V4" s="2"/>
      <c r="W4" s="2"/>
      <c r="X4" s="2"/>
      <c r="Y4" s="2"/>
      <c r="Z4" s="2"/>
    </row>
    <row r="5" spans="1:26" ht="15.75" customHeight="1">
      <c r="A5" t="s" s="3">
        <v>3</v>
      </c>
      <c r="B5" t="s" s="4">
        <v>38</v>
      </c>
      <c r="C5" s="6"/>
      <c r="D5" s="5"/>
      <c r="E5" s="2"/>
      <c r="F5" s="2"/>
      <c r="G5" s="2"/>
      <c r="H5" s="2"/>
      <c r="I5" s="2"/>
      <c r="J5" s="2"/>
      <c r="K5" s="2"/>
      <c r="L5" s="2"/>
      <c r="M5" s="2"/>
      <c r="N5" s="2"/>
      <c r="O5" s="2"/>
      <c r="P5" s="2"/>
      <c r="Q5" s="2"/>
      <c r="R5" s="2"/>
      <c r="S5" s="2"/>
      <c r="T5" s="2"/>
      <c r="U5" s="2"/>
      <c r="V5" s="2"/>
      <c r="W5" s="2"/>
      <c r="X5" s="2"/>
      <c r="Y5" s="2"/>
      <c r="Z5" s="2"/>
    </row>
    <row r="6" spans="1:26" ht="15.75" customHeight="1">
      <c r="A6" t="s" s="3">
        <v>3</v>
      </c>
      <c r="B6" t="s" s="4">
        <v>36</v>
      </c>
      <c r="C6" s="6"/>
      <c r="D6" s="5"/>
      <c r="E6" s="2"/>
      <c r="F6" s="2"/>
      <c r="G6" s="2"/>
      <c r="H6" s="2"/>
      <c r="I6" s="2"/>
      <c r="J6" s="2"/>
      <c r="K6" s="2"/>
      <c r="L6" s="2"/>
      <c r="M6" s="2"/>
      <c r="N6" s="2"/>
      <c r="O6" s="2"/>
      <c r="P6" s="2"/>
      <c r="Q6" s="2"/>
      <c r="R6" s="2"/>
      <c r="S6" s="2"/>
      <c r="T6" s="2"/>
      <c r="U6" s="2"/>
      <c r="V6" s="2"/>
      <c r="W6" s="2"/>
      <c r="X6" s="2"/>
      <c r="Y6" s="2"/>
      <c r="Z6" s="2"/>
    </row>
    <row r="7" spans="1:26" ht="15.75" customHeight="1">
      <c r="A7" t="s" s="3">
        <v>5</v>
      </c>
      <c r="B7" t="s" s="4">
        <v>296</v>
      </c>
      <c r="C7" s="6"/>
      <c r="D7" s="7"/>
      <c r="E7" s="2"/>
      <c r="F7" s="2"/>
      <c r="G7" s="2"/>
      <c r="H7" s="2"/>
      <c r="I7" s="2"/>
      <c r="J7" s="2"/>
      <c r="K7" s="2"/>
      <c r="L7" s="2"/>
      <c r="M7" s="2"/>
      <c r="N7" s="2"/>
      <c r="O7" s="2"/>
      <c r="P7" s="2"/>
      <c r="Q7" s="2"/>
      <c r="R7" s="2"/>
      <c r="S7" s="2"/>
      <c r="T7" s="2"/>
      <c r="U7" s="2"/>
      <c r="V7" s="2"/>
      <c r="W7" s="2"/>
      <c r="X7" s="2"/>
      <c r="Y7" s="2"/>
      <c r="Z7" s="2"/>
    </row>
    <row r="8" spans="1:26" ht="15.75" customHeight="1">
      <c r="A8" t="s" s="3">
        <v>7</v>
      </c>
      <c r="B8" t="s" s="4">
        <v>297</v>
      </c>
      <c r="C8" s="6"/>
      <c r="D8" s="7"/>
      <c r="E8" s="2"/>
      <c r="F8" s="2"/>
      <c r="G8" s="2"/>
      <c r="H8" s="2"/>
      <c r="I8" s="2"/>
      <c r="J8" s="2"/>
      <c r="K8" s="2"/>
      <c r="L8" s="2"/>
      <c r="M8" s="2"/>
      <c r="N8" s="2"/>
      <c r="O8" s="2"/>
      <c r="P8" s="2"/>
      <c r="Q8" s="2"/>
      <c r="R8" s="2"/>
      <c r="S8" s="2"/>
      <c r="T8" s="2"/>
      <c r="U8" s="2"/>
      <c r="V8" s="2"/>
      <c r="W8" s="2"/>
      <c r="X8" s="2"/>
      <c r="Y8" s="2"/>
      <c r="Z8" s="2"/>
    </row>
    <row r="9" spans="1:26" ht="15.75" customHeight="1">
      <c r="A9" t="s" s="3">
        <v>9</v>
      </c>
      <c r="B9" t="s" s="4">
        <v>298</v>
      </c>
      <c r="C9" s="6"/>
      <c r="D9" s="5"/>
      <c r="E9" s="2"/>
      <c r="F9" s="2"/>
      <c r="G9" s="2"/>
      <c r="H9" s="2"/>
      <c r="I9" s="2"/>
      <c r="J9" s="2"/>
      <c r="K9" s="2"/>
      <c r="L9" s="2"/>
      <c r="M9" s="2"/>
      <c r="N9" s="2"/>
      <c r="O9" s="2"/>
      <c r="P9" s="2"/>
      <c r="Q9" s="2"/>
      <c r="R9" s="2"/>
      <c r="S9" s="2"/>
      <c r="T9" s="2"/>
      <c r="U9" s="2"/>
      <c r="V9" s="2"/>
      <c r="W9" s="2"/>
      <c r="X9" s="2"/>
      <c r="Y9" s="2"/>
      <c r="Z9" s="2"/>
    </row>
    <row r="10" spans="1:26" ht="15.75" customHeight="1">
      <c r="A10" t="s" s="3">
        <v>9</v>
      </c>
      <c r="B10" t="s" s="4">
        <v>299</v>
      </c>
      <c r="C10" s="6"/>
      <c r="D10" s="5"/>
      <c r="E10" s="2"/>
      <c r="F10" s="2"/>
      <c r="G10" s="2"/>
      <c r="H10" s="2"/>
      <c r="I10" s="2"/>
      <c r="J10" s="2"/>
      <c r="K10" s="2"/>
      <c r="L10" s="2"/>
      <c r="M10" s="2"/>
      <c r="N10" s="2"/>
      <c r="O10" s="2"/>
      <c r="P10" s="2"/>
      <c r="Q10" s="2"/>
      <c r="R10" s="2"/>
      <c r="S10" s="2"/>
      <c r="T10" s="2"/>
      <c r="U10" s="2"/>
      <c r="V10" s="2"/>
      <c r="W10" s="2"/>
      <c r="X10" s="2"/>
      <c r="Y10" s="2"/>
      <c r="Z10" s="2"/>
    </row>
    <row r="11" spans="1:26" ht="15.75" customHeight="1">
      <c r="A11" t="s" s="3">
        <v>300</v>
      </c>
      <c r="B11" t="s" s="4">
        <v>301</v>
      </c>
      <c r="C11" s="6"/>
      <c r="D11" s="5"/>
      <c r="E11" s="2"/>
      <c r="F11" s="2"/>
      <c r="G11" s="2"/>
      <c r="H11" s="2"/>
      <c r="I11" s="2"/>
      <c r="J11" s="2"/>
      <c r="K11" s="2"/>
      <c r="L11" s="2"/>
      <c r="M11" s="2"/>
      <c r="N11" s="2"/>
      <c r="O11" s="2"/>
      <c r="P11" s="2"/>
      <c r="Q11" s="2"/>
      <c r="R11" s="2"/>
      <c r="S11" s="2"/>
      <c r="T11" s="2"/>
      <c r="U11" s="2"/>
      <c r="V11" s="2"/>
      <c r="W11" s="2"/>
      <c r="X11" s="2"/>
      <c r="Y11" s="2"/>
      <c r="Z11" s="2"/>
    </row>
    <row r="12" spans="1:26" ht="15.75" customHeight="1">
      <c r="A12" t="s" s="2">
        <v>300</v>
      </c>
      <c r="B12" t="s" s="2">
        <v>302</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t="s" s="2">
        <v>303</v>
      </c>
      <c r="B13" t="s" s="2">
        <v>304</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t="s" s="2">
        <v>303</v>
      </c>
      <c r="B14" t="s" s="2">
        <v>305</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sheetViews>
    <sheetView topLeftCell="A30" zoomScale="70" zoomScaleNormal="70" workbookViewId="0">
      <selection activeCell="E17" sqref="E17"/>
    </sheetView>
  </sheetViews>
  <sheetFormatPr defaultColWidth="12.6328125" defaultRowHeight="15.75" customHeight="1"/>
  <cols>
    <col min="1" max="1" width="33.08984375" customWidth="1"/>
    <col min="2" max="2" width="17.90625" customWidth="1"/>
    <col min="3" max="3" width="18" customWidth="1"/>
    <col min="4" max="4" width="19.90625" customWidth="1"/>
    <col min="5" max="5" width="63.08984375" customWidth="1"/>
    <col min="6" max="7" width="25.08984375" customWidth="1"/>
  </cols>
  <sheetData>
    <row r="1" spans="1:26" ht="15.75" customHeight="1">
      <c r="A1" t="s" s="72">
        <v>17</v>
      </c>
      <c r="B1" s="73"/>
      <c r="C1" s="73"/>
      <c r="D1" s="73"/>
      <c r="E1" s="73"/>
      <c r="F1" s="1"/>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t="s" s="8">
        <v>18</v>
      </c>
      <c r="B3" t="s" s="8">
        <v>19</v>
      </c>
      <c r="C3" t="s" s="8">
        <v>20</v>
      </c>
      <c r="D3" s="9"/>
      <c r="E3" s="9"/>
      <c r="F3" s="9"/>
      <c r="G3" s="9"/>
      <c r="H3" s="9"/>
      <c r="I3" s="9"/>
      <c r="J3" s="9"/>
      <c r="K3" s="9"/>
      <c r="L3" s="9"/>
      <c r="M3" s="9"/>
      <c r="N3" s="9"/>
      <c r="O3" s="9"/>
      <c r="P3" s="9"/>
      <c r="Q3" s="9"/>
      <c r="R3" s="9"/>
      <c r="S3" s="9"/>
      <c r="T3" s="9"/>
      <c r="U3" s="9"/>
      <c r="V3" s="9"/>
      <c r="W3" s="9"/>
      <c r="X3" s="9"/>
      <c r="Y3" s="9"/>
      <c r="Z3" s="9"/>
    </row>
    <row r="4" spans="1:26" ht="15.75" customHeight="1">
      <c r="A4" t="s" s="10">
        <v>306</v>
      </c>
      <c r="B4" s="97">
        <v>497500000000</v>
      </c>
      <c r="C4" s="101">
        <v>2.72</v>
      </c>
      <c r="D4" s="13"/>
      <c r="E4" s="13"/>
      <c r="F4" s="13"/>
      <c r="G4" s="13"/>
      <c r="H4" s="1"/>
      <c r="I4" s="1"/>
      <c r="J4" s="1"/>
      <c r="K4" s="1"/>
      <c r="L4" s="1"/>
      <c r="M4" s="1"/>
      <c r="N4" s="1"/>
      <c r="O4" s="1"/>
      <c r="P4" s="1"/>
      <c r="Q4" s="1"/>
      <c r="R4" s="1"/>
      <c r="S4" s="1"/>
      <c r="T4" s="1"/>
      <c r="U4" s="1"/>
      <c r="V4" s="1"/>
      <c r="W4" s="1"/>
      <c r="X4" s="1"/>
      <c r="Y4" s="1"/>
      <c r="Z4" s="1"/>
    </row>
    <row r="5" spans="1:26" ht="15.75" customHeight="1">
      <c r="A5" t="s" s="14">
        <v>22</v>
      </c>
      <c r="B5" s="98">
        <v>2100000</v>
      </c>
      <c r="C5" s="102">
        <v>3</v>
      </c>
      <c r="D5" s="15"/>
      <c r="E5" s="15"/>
      <c r="F5" s="16"/>
      <c r="G5" s="16"/>
      <c r="H5" s="1"/>
      <c r="I5" s="1"/>
      <c r="J5" s="1"/>
      <c r="K5" s="1"/>
      <c r="L5" s="1"/>
      <c r="M5" s="1"/>
      <c r="N5" s="1"/>
      <c r="O5" s="1"/>
      <c r="P5" s="1"/>
      <c r="Q5" s="1"/>
      <c r="R5" s="1"/>
      <c r="S5" s="1"/>
      <c r="T5" s="1"/>
      <c r="U5" s="1"/>
      <c r="V5" s="1"/>
      <c r="W5" s="1"/>
      <c r="X5" s="1"/>
      <c r="Y5" s="1"/>
      <c r="Z5" s="1"/>
    </row>
    <row r="6" spans="1:26" ht="15.75" customHeight="1">
      <c r="A6" t="s" s="14">
        <v>23</v>
      </c>
      <c r="B6" s="99">
        <v>7200</v>
      </c>
      <c r="C6" s="103">
        <v>0.49</v>
      </c>
      <c r="D6" s="1"/>
      <c r="E6" s="1"/>
      <c r="F6" s="1"/>
      <c r="G6" s="1"/>
      <c r="H6" s="1"/>
      <c r="I6" s="1"/>
      <c r="J6" s="1"/>
      <c r="K6" s="1"/>
      <c r="L6" s="1"/>
      <c r="M6" s="1"/>
      <c r="N6" s="1"/>
      <c r="O6" s="1"/>
      <c r="P6" s="1"/>
      <c r="Q6" s="1"/>
      <c r="R6" s="1"/>
      <c r="S6" s="1"/>
      <c r="T6" s="1"/>
      <c r="U6" s="1"/>
      <c r="V6" s="1"/>
      <c r="W6" s="1"/>
      <c r="X6" s="1"/>
      <c r="Y6" s="1"/>
      <c r="Z6" s="1"/>
    </row>
    <row r="7" spans="1:26" ht="15.75" customHeight="1">
      <c r="A7" t="s" s="14">
        <v>24</v>
      </c>
      <c r="B7" s="100">
        <v>3600</v>
      </c>
      <c r="C7" s="104">
        <v>0.33</v>
      </c>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74"/>
      <c r="B12" s="73"/>
      <c r="C12" s="73"/>
      <c r="D12" s="73"/>
      <c r="E12" s="17"/>
      <c r="F12" s="17"/>
      <c r="G12" s="17"/>
      <c r="H12" s="1"/>
      <c r="I12" s="1"/>
      <c r="J12" s="1"/>
      <c r="K12" s="1"/>
      <c r="L12" s="1"/>
      <c r="M12" s="1"/>
      <c r="N12" s="1"/>
      <c r="O12" s="1"/>
      <c r="P12" s="1"/>
      <c r="Q12" s="1"/>
      <c r="R12" s="1"/>
      <c r="S12" s="1"/>
      <c r="T12" s="1"/>
      <c r="U12" s="1"/>
      <c r="V12" s="1"/>
      <c r="W12" s="1"/>
      <c r="X12" s="1"/>
      <c r="Y12" s="1"/>
      <c r="Z12" s="1"/>
    </row>
    <row r="13" spans="1:26" ht="15.75" customHeight="1">
      <c r="A13" s="17"/>
      <c r="B13" s="18"/>
      <c r="C13" s="18"/>
      <c r="D13" t="s" s="18">
        <v>20</v>
      </c>
      <c r="E13" s="9"/>
      <c r="F13" s="1"/>
      <c r="G13" s="1"/>
      <c r="H13" s="1"/>
      <c r="I13" s="1"/>
      <c r="J13" s="1"/>
      <c r="K13" s="1"/>
      <c r="L13" s="1"/>
      <c r="M13" s="1"/>
      <c r="N13" s="1"/>
      <c r="O13" s="1"/>
      <c r="P13" s="1"/>
      <c r="Q13" s="1"/>
      <c r="R13" s="1"/>
      <c r="S13" s="1"/>
      <c r="T13" s="1"/>
      <c r="U13" s="1"/>
      <c r="V13" s="1"/>
      <c r="W13" s="1"/>
      <c r="X13" s="1"/>
      <c r="Y13" s="1"/>
      <c r="Z13" s="1"/>
    </row>
    <row r="14" spans="1:26" ht="15.75" customHeight="1">
      <c r="A14" s="19"/>
      <c r="B14" s="13"/>
      <c r="C14" s="13"/>
      <c r="D14" s="20">
        <f t="shared" ref="D14:D17" si="2">C4</f>
      </c>
      <c r="E14" s="1"/>
      <c r="F14" s="1"/>
      <c r="G14" s="1"/>
      <c r="H14" s="1"/>
      <c r="I14" s="1"/>
      <c r="J14" s="1"/>
      <c r="K14" s="1"/>
      <c r="L14" s="1"/>
      <c r="M14" s="1"/>
      <c r="N14" s="1"/>
      <c r="O14" s="1"/>
      <c r="P14" s="1"/>
      <c r="Q14" s="1"/>
      <c r="R14" s="1"/>
      <c r="S14" s="1"/>
      <c r="T14" s="1"/>
      <c r="U14" s="1"/>
      <c r="V14" s="1"/>
      <c r="W14" s="1"/>
      <c r="X14" s="1"/>
      <c r="Y14" s="1"/>
      <c r="Z14" s="1"/>
    </row>
    <row r="15" spans="1:26" ht="15.75" customHeight="1">
      <c r="A15" s="21"/>
      <c r="B15" s="13"/>
      <c r="C15" s="13"/>
      <c r="D15" s="20">
        <f t="shared" si="2"/>
      </c>
      <c r="E15" s="1"/>
      <c r="F15" s="1"/>
      <c r="G15" s="1"/>
      <c r="H15" s="1"/>
      <c r="I15" s="1"/>
      <c r="J15" s="1"/>
      <c r="K15" s="1"/>
      <c r="L15" s="1"/>
      <c r="M15" s="1"/>
      <c r="N15" s="1"/>
      <c r="O15" s="1"/>
      <c r="P15" s="1"/>
      <c r="Q15" s="1"/>
      <c r="R15" s="1"/>
      <c r="S15" s="1"/>
      <c r="T15" s="1"/>
      <c r="U15" s="1"/>
      <c r="V15" s="1"/>
      <c r="W15" s="1"/>
      <c r="X15" s="1"/>
      <c r="Y15" s="1"/>
      <c r="Z15" s="1"/>
    </row>
    <row r="16" spans="1:26" ht="15.75" customHeight="1">
      <c r="A16" s="21"/>
      <c r="B16" s="13"/>
      <c r="C16" s="13"/>
      <c r="D16" s="20">
        <f t="shared" si="2"/>
      </c>
      <c r="E16" s="1"/>
      <c r="F16" s="1"/>
      <c r="G16" s="1"/>
      <c r="H16" s="1"/>
      <c r="I16" s="1"/>
      <c r="J16" s="1"/>
      <c r="K16" s="1"/>
      <c r="L16" s="1"/>
      <c r="M16" s="1"/>
      <c r="N16" s="1"/>
      <c r="O16" s="1"/>
      <c r="P16" s="1"/>
      <c r="Q16" s="1"/>
      <c r="R16" s="1"/>
      <c r="S16" s="1"/>
      <c r="T16" s="1"/>
      <c r="U16" s="1"/>
      <c r="V16" s="1"/>
      <c r="W16" s="1"/>
      <c r="X16" s="1"/>
      <c r="Y16" s="1"/>
      <c r="Z16" s="1"/>
    </row>
    <row r="17" spans="1:26" ht="15.75" customHeight="1">
      <c r="A17" s="21"/>
      <c r="B17" s="13"/>
      <c r="C17" s="13"/>
      <c r="D17" s="20">
        <f t="shared" si="2"/>
      </c>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22"/>
      <c r="C18" s="22"/>
      <c r="D18" s="23">
        <f t="shared" ref="D18:D22" si="4">B18/C18-1</f>
      </c>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23">
        <f t="shared" si="4"/>
      </c>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22"/>
      <c r="C20" s="22"/>
      <c r="D20" s="23">
        <f t="shared" si="4"/>
      </c>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22"/>
      <c r="C21" s="22"/>
      <c r="D21" s="23">
        <f t="shared" si="4"/>
      </c>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22"/>
      <c r="C22" s="22"/>
      <c r="D22" s="23">
        <f t="shared" si="4"/>
      </c>
      <c r="E22" s="1"/>
      <c r="F22" s="1"/>
      <c r="G22" s="1"/>
      <c r="H22" s="1"/>
      <c r="I22" s="1"/>
      <c r="J22" s="1"/>
      <c r="K22" s="1"/>
      <c r="L22" s="1"/>
      <c r="M22" s="1"/>
      <c r="N22" s="1"/>
      <c r="O22" s="1"/>
      <c r="P22" s="1"/>
      <c r="Q22" s="1"/>
      <c r="R22" s="1"/>
      <c r="S22" s="1"/>
      <c r="T22" s="1"/>
      <c r="U22" s="1"/>
      <c r="V22" s="1"/>
      <c r="W22" s="1"/>
      <c r="X22" s="1"/>
      <c r="Y22" s="1"/>
      <c r="Z22" s="1"/>
    </row>
    <row r="23" spans="1:26" ht="15.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5">
      <c r="A26" s="74"/>
      <c r="B26" s="73"/>
      <c r="C26" s="73"/>
      <c r="D26" s="73"/>
      <c r="E26" s="1"/>
      <c r="F26" s="1"/>
      <c r="G26" s="1"/>
      <c r="H26" s="1"/>
      <c r="I26" s="1"/>
      <c r="J26" s="1"/>
      <c r="K26" s="1"/>
      <c r="L26" s="1"/>
      <c r="M26" s="1"/>
      <c r="N26" s="1"/>
      <c r="O26" s="1"/>
      <c r="P26" s="1"/>
      <c r="Q26" s="1"/>
      <c r="R26" s="1"/>
      <c r="S26" s="1"/>
      <c r="T26" s="1"/>
      <c r="U26" s="1"/>
      <c r="V26" s="1"/>
      <c r="W26" s="1"/>
      <c r="X26" s="1"/>
      <c r="Y26" s="1"/>
      <c r="Z26" s="1"/>
    </row>
    <row r="27" spans="1:26" ht="31">
      <c r="A27" s="17"/>
      <c r="B27" s="18"/>
      <c r="C27" s="18"/>
      <c r="D27" t="s" s="18">
        <v>20</v>
      </c>
      <c r="E27" s="1"/>
      <c r="F27" s="1"/>
      <c r="G27" s="1"/>
      <c r="H27" s="1"/>
      <c r="I27" s="1"/>
      <c r="J27" s="1"/>
      <c r="K27" s="1"/>
      <c r="L27" s="1"/>
      <c r="M27" s="1"/>
      <c r="N27" s="1"/>
      <c r="O27" s="1"/>
      <c r="P27" s="1"/>
      <c r="Q27" s="1"/>
      <c r="R27" s="1"/>
      <c r="S27" s="1"/>
      <c r="T27" s="1"/>
      <c r="U27" s="1"/>
      <c r="V27" s="1"/>
      <c r="W27" s="1"/>
      <c r="X27" s="1"/>
      <c r="Y27" s="1"/>
      <c r="Z27" s="1"/>
    </row>
    <row r="28" spans="1:26" ht="15.5">
      <c r="A28" s="19"/>
      <c r="B28" s="13"/>
      <c r="C28" s="13"/>
      <c r="D28" s="16"/>
      <c r="E28" s="1"/>
      <c r="F28" s="1"/>
      <c r="G28" s="1"/>
      <c r="H28" s="1"/>
      <c r="I28" s="1"/>
      <c r="J28" s="1"/>
      <c r="K28" s="1"/>
      <c r="L28" s="1"/>
      <c r="M28" s="1"/>
      <c r="N28" s="1"/>
      <c r="O28" s="1"/>
      <c r="P28" s="1"/>
      <c r="Q28" s="1"/>
      <c r="R28" s="1"/>
      <c r="S28" s="1"/>
      <c r="T28" s="1"/>
      <c r="U28" s="1"/>
      <c r="V28" s="1"/>
      <c r="W28" s="1"/>
      <c r="X28" s="1"/>
      <c r="Y28" s="1"/>
      <c r="Z28" s="1"/>
    </row>
    <row r="29" spans="1:26" ht="15.5">
      <c r="A29" s="21"/>
      <c r="B29" s="13"/>
      <c r="C29" s="13"/>
      <c r="D29" s="16"/>
      <c r="E29" s="1"/>
      <c r="F29" s="1"/>
      <c r="G29" s="1"/>
      <c r="H29" s="1"/>
      <c r="I29" s="1"/>
      <c r="J29" s="1"/>
      <c r="K29" s="1"/>
      <c r="L29" s="1"/>
      <c r="M29" s="1"/>
      <c r="N29" s="1"/>
      <c r="O29" s="1"/>
      <c r="P29" s="1"/>
      <c r="Q29" s="1"/>
      <c r="R29" s="1"/>
      <c r="S29" s="1"/>
      <c r="T29" s="1"/>
      <c r="U29" s="1"/>
      <c r="V29" s="1"/>
      <c r="W29" s="1"/>
      <c r="X29" s="1"/>
      <c r="Y29" s="1"/>
      <c r="Z29" s="1"/>
    </row>
    <row r="30" spans="1:26" ht="15.5">
      <c r="A30" s="21"/>
      <c r="B30" s="13"/>
      <c r="C30" s="13"/>
      <c r="D30" s="16"/>
      <c r="E30" s="1"/>
      <c r="F30" s="1"/>
      <c r="G30" s="1"/>
      <c r="H30" s="1"/>
      <c r="I30" s="1"/>
      <c r="J30" s="1"/>
      <c r="K30" s="1"/>
      <c r="L30" s="1"/>
      <c r="M30" s="1"/>
      <c r="N30" s="1"/>
      <c r="O30" s="1"/>
      <c r="P30" s="1"/>
      <c r="Q30" s="1"/>
      <c r="R30" s="1"/>
      <c r="S30" s="1"/>
      <c r="T30" s="1"/>
      <c r="U30" s="1"/>
      <c r="V30" s="1"/>
      <c r="W30" s="1"/>
      <c r="X30" s="1"/>
      <c r="Y30" s="1"/>
      <c r="Z30" s="1"/>
    </row>
    <row r="31" spans="1:26" ht="15.5">
      <c r="A31" s="21"/>
      <c r="B31" s="13"/>
      <c r="C31" s="13"/>
      <c r="D31" s="16"/>
      <c r="E31" s="1"/>
      <c r="F31" s="1"/>
      <c r="G31" s="1"/>
      <c r="H31" s="1"/>
      <c r="I31" s="1"/>
      <c r="J31" s="1"/>
      <c r="K31" s="1"/>
      <c r="L31" s="1"/>
      <c r="M31" s="1"/>
      <c r="N31" s="1"/>
      <c r="O31" s="1"/>
      <c r="P31" s="1"/>
      <c r="Q31" s="1"/>
      <c r="R31" s="1"/>
      <c r="S31" s="1"/>
      <c r="T31" s="1"/>
      <c r="U31" s="1"/>
      <c r="V31" s="1"/>
      <c r="W31" s="1"/>
      <c r="X31" s="1"/>
      <c r="Y31" s="1"/>
      <c r="Z31" s="1"/>
    </row>
    <row r="32" spans="1:26" ht="15.5">
      <c r="A32" s="1"/>
      <c r="B32" s="24"/>
      <c r="C32" s="24"/>
      <c r="D32" s="16"/>
      <c r="E32" s="1"/>
      <c r="F32" s="1"/>
      <c r="G32" s="1"/>
      <c r="H32" s="1"/>
      <c r="I32" s="1"/>
      <c r="J32" s="1"/>
      <c r="K32" s="1"/>
      <c r="L32" s="1"/>
      <c r="M32" s="1"/>
      <c r="N32" s="1"/>
      <c r="O32" s="1"/>
      <c r="P32" s="1"/>
      <c r="Q32" s="1"/>
      <c r="R32" s="1"/>
      <c r="S32" s="1"/>
      <c r="T32" s="1"/>
      <c r="U32" s="1"/>
      <c r="V32" s="1"/>
      <c r="W32" s="1"/>
      <c r="X32" s="1"/>
      <c r="Y32" s="1"/>
      <c r="Z32" s="1"/>
    </row>
    <row r="33" spans="1:26" ht="31">
      <c r="A33" s="17"/>
      <c r="B33" s="18"/>
      <c r="C33" s="18"/>
      <c r="D33" t="s" s="18">
        <v>20</v>
      </c>
      <c r="E33" s="1"/>
      <c r="F33" s="1"/>
      <c r="G33" s="1"/>
      <c r="H33" s="1"/>
      <c r="I33" s="1"/>
      <c r="J33" s="1"/>
      <c r="K33" s="1"/>
      <c r="L33" s="1"/>
      <c r="M33" s="1"/>
      <c r="N33" s="1"/>
      <c r="O33" s="1"/>
      <c r="P33" s="1"/>
      <c r="Q33" s="1"/>
      <c r="R33" s="1"/>
      <c r="S33" s="1"/>
      <c r="T33" s="1"/>
      <c r="U33" s="1"/>
      <c r="V33" s="1"/>
      <c r="W33" s="1"/>
      <c r="X33" s="1"/>
      <c r="Y33" s="1"/>
      <c r="Z33" s="1"/>
    </row>
    <row r="34" spans="1:26" ht="46.5">
      <c r="A34" s="1"/>
      <c r="B34" s="24"/>
      <c r="C34" s="24"/>
      <c r="D34" s="24"/>
      <c r="E34" s="1"/>
      <c r="F34" s="1"/>
      <c r="G34" s="1"/>
      <c r="H34" s="1"/>
      <c r="I34" s="1"/>
      <c r="J34" s="1"/>
      <c r="K34" s="1"/>
      <c r="L34" s="1"/>
      <c r="M34" s="1"/>
      <c r="N34" s="1"/>
      <c r="O34" s="1"/>
      <c r="P34" s="1"/>
      <c r="Q34" s="1"/>
      <c r="R34" s="1"/>
      <c r="S34" s="1"/>
      <c r="T34" s="1"/>
      <c r="U34" s="1"/>
      <c r="V34" s="1"/>
      <c r="W34" s="1"/>
      <c r="X34" s="1"/>
      <c r="Y34" s="1"/>
      <c r="Z34" s="1"/>
    </row>
    <row r="35" spans="1:26" ht="31">
      <c r="A35" s="1"/>
      <c r="B35" s="24"/>
      <c r="C35" s="24"/>
      <c r="D35" s="24"/>
      <c r="E35" s="1"/>
      <c r="F35" s="1"/>
      <c r="G35" s="1"/>
      <c r="H35" s="1"/>
      <c r="I35" s="1"/>
      <c r="J35" s="1"/>
      <c r="K35" s="1"/>
      <c r="L35" s="1"/>
      <c r="M35" s="1"/>
      <c r="N35" s="1"/>
      <c r="O35" s="1"/>
      <c r="P35" s="1"/>
      <c r="Q35" s="1"/>
      <c r="R35" s="1"/>
      <c r="S35" s="1"/>
      <c r="T35" s="1"/>
      <c r="U35" s="1"/>
      <c r="V35" s="1"/>
      <c r="W35" s="1"/>
      <c r="X35" s="1"/>
      <c r="Y35" s="1"/>
      <c r="Z35" s="1"/>
    </row>
    <row r="36" spans="1:26" ht="46.5">
      <c r="A36" s="1"/>
      <c r="B36" s="24"/>
      <c r="C36" s="24"/>
      <c r="D36" s="24"/>
      <c r="E36" s="1"/>
      <c r="F36" s="1"/>
      <c r="G36" s="1"/>
      <c r="H36" s="1"/>
      <c r="I36" s="1"/>
      <c r="J36" s="1"/>
      <c r="K36" s="1"/>
      <c r="L36" s="1"/>
      <c r="M36" s="1"/>
      <c r="N36" s="1"/>
      <c r="O36" s="1"/>
      <c r="P36" s="1"/>
      <c r="Q36" s="1"/>
      <c r="R36" s="1"/>
      <c r="S36" s="1"/>
      <c r="T36" s="1"/>
      <c r="U36" s="1"/>
      <c r="V36" s="1"/>
      <c r="W36" s="1"/>
      <c r="X36" s="1"/>
      <c r="Y36" s="1"/>
      <c r="Z36" s="1"/>
    </row>
    <row r="37" spans="1:26" ht="46.5">
      <c r="A37" s="1"/>
      <c r="B37" s="24"/>
      <c r="C37" s="24"/>
      <c r="D37" s="24"/>
      <c r="E37" s="1"/>
      <c r="F37" s="1"/>
      <c r="G37" s="1"/>
      <c r="H37" s="1"/>
      <c r="I37" s="1"/>
      <c r="J37" s="1"/>
      <c r="K37" s="1"/>
      <c r="L37" s="1"/>
      <c r="M37" s="1"/>
      <c r="N37" s="1"/>
      <c r="O37" s="1"/>
      <c r="P37" s="1"/>
      <c r="Q37" s="1"/>
      <c r="R37" s="1"/>
      <c r="S37" s="1"/>
      <c r="T37" s="1"/>
      <c r="U37" s="1"/>
      <c r="V37" s="1"/>
      <c r="W37" s="1"/>
      <c r="X37" s="1"/>
      <c r="Y37" s="1"/>
      <c r="Z37" s="1"/>
    </row>
    <row r="38" spans="1:26" ht="31">
      <c r="A38" s="1"/>
      <c r="B38" s="24"/>
      <c r="C38" s="24"/>
      <c r="D38" s="24"/>
      <c r="E38" s="1"/>
      <c r="F38" s="1"/>
      <c r="G38" s="1"/>
      <c r="H38" s="1"/>
      <c r="I38" s="1"/>
      <c r="J38" s="1"/>
      <c r="K38" s="1"/>
      <c r="L38" s="1"/>
      <c r="M38" s="1"/>
      <c r="N38" s="1"/>
      <c r="O38" s="1"/>
      <c r="P38" s="1"/>
      <c r="Q38" s="1"/>
      <c r="R38" s="1"/>
      <c r="S38" s="1"/>
      <c r="T38" s="1"/>
      <c r="U38" s="1"/>
      <c r="V38" s="1"/>
      <c r="W38" s="1"/>
      <c r="X38" s="1"/>
      <c r="Y38" s="1"/>
      <c r="Z38" s="1"/>
    </row>
    <row r="39" spans="1:26" ht="15.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3">
    <mergeCell ref="A1:E1"/>
    <mergeCell ref="A12:D12"/>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sheetViews>
    <sheetView zoomScale="80" zoomScaleNormal="80" workbookViewId="0">
      <selection activeCell="K33" sqref="K33"/>
    </sheetView>
  </sheetViews>
  <sheetFormatPr defaultColWidth="12.6328125" defaultRowHeight="15.75" customHeight="1"/>
  <cols>
    <col min="2" max="2" width="23.08984375" customWidth="1"/>
    <col min="3" max="3" width="15.6328125" customWidth="1"/>
  </cols>
  <sheetData>
    <row r="1" spans="1:26" ht="15.75" customHeight="1">
      <c r="A1" t="s" s="72">
        <v>32</v>
      </c>
      <c r="B1" s="73"/>
      <c r="C1" s="73"/>
      <c r="D1" s="73"/>
      <c r="E1" s="73"/>
      <c r="F1" s="73"/>
      <c r="G1" s="73"/>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t="s" s="74">
        <v>33</v>
      </c>
      <c r="B3" s="73"/>
      <c r="C3" s="73"/>
      <c r="D3" s="1"/>
      <c r="E3" s="1"/>
      <c r="F3" s="1"/>
      <c r="G3" s="1"/>
      <c r="H3" s="1"/>
      <c r="I3" s="1"/>
      <c r="J3" s="1"/>
      <c r="K3" s="1"/>
      <c r="L3" s="1"/>
      <c r="M3" s="1"/>
      <c r="N3" s="1"/>
      <c r="O3" s="1"/>
      <c r="P3" s="1"/>
      <c r="Q3" s="1"/>
      <c r="R3" s="1"/>
      <c r="S3" s="1"/>
      <c r="T3" s="1"/>
      <c r="U3" s="1"/>
      <c r="V3" s="1"/>
      <c r="W3" s="1"/>
      <c r="X3" s="1"/>
      <c r="Y3" s="1"/>
      <c r="Z3" s="1"/>
    </row>
    <row r="4" spans="1:26" ht="15.75" customHeight="1">
      <c r="A4" t="s" s="8">
        <v>34</v>
      </c>
      <c r="B4" t="s" s="8">
        <v>21</v>
      </c>
      <c r="C4" t="s" s="25">
        <v>35</v>
      </c>
      <c r="D4" s="1"/>
      <c r="E4" s="1"/>
      <c r="F4" s="1"/>
      <c r="G4" s="1"/>
      <c r="H4" s="1"/>
      <c r="I4" s="1"/>
      <c r="J4" s="1"/>
      <c r="K4" s="1"/>
      <c r="L4" s="1"/>
      <c r="M4" s="1"/>
      <c r="N4" s="1"/>
      <c r="O4" s="1"/>
      <c r="P4" s="1"/>
      <c r="Q4" s="1"/>
      <c r="R4" s="1"/>
      <c r="S4" s="1"/>
      <c r="T4" s="1"/>
      <c r="U4" s="1"/>
      <c r="V4" s="1"/>
      <c r="W4" s="1"/>
      <c r="X4" s="1"/>
      <c r="Y4" s="1"/>
      <c r="Z4" s="1"/>
    </row>
    <row r="5" spans="1:26" ht="15.75" customHeight="1">
      <c r="A5" t="s" s="14">
        <v>38</v>
      </c>
      <c r="B5" s="105">
        <v>159400000000</v>
      </c>
      <c r="C5" s="108">
        <v>0.32</v>
      </c>
      <c r="D5" s="1"/>
      <c r="E5" s="1"/>
      <c r="F5" s="1"/>
      <c r="G5" s="1"/>
      <c r="H5" s="1"/>
      <c r="I5" s="1"/>
      <c r="J5" s="1"/>
      <c r="K5" s="1"/>
      <c r="L5" s="1"/>
      <c r="M5" s="1"/>
      <c r="N5" s="1"/>
      <c r="O5" s="1"/>
      <c r="P5" s="1"/>
      <c r="Q5" s="1"/>
      <c r="R5" s="1"/>
      <c r="S5" s="1"/>
      <c r="T5" s="1"/>
      <c r="U5" s="1"/>
      <c r="V5" s="1"/>
      <c r="W5" s="1"/>
      <c r="X5" s="1"/>
      <c r="Y5" s="1"/>
      <c r="Z5" s="1"/>
    </row>
    <row r="6" spans="1:26" ht="15.75" customHeight="1">
      <c r="A6" t="s" s="14">
        <v>36</v>
      </c>
      <c r="B6" s="106">
        <v>338100000000</v>
      </c>
      <c r="C6" s="109">
        <v>0.68</v>
      </c>
      <c r="D6" s="1"/>
      <c r="E6" s="1"/>
      <c r="F6" s="1"/>
      <c r="G6" s="1"/>
      <c r="H6" s="1"/>
      <c r="I6" s="1"/>
      <c r="J6" s="1"/>
      <c r="K6" s="1"/>
      <c r="L6" s="1"/>
      <c r="M6" s="1"/>
      <c r="N6" s="1"/>
      <c r="O6" s="1"/>
      <c r="P6" s="1"/>
      <c r="Q6" s="1"/>
      <c r="R6" s="1"/>
      <c r="S6" s="1"/>
      <c r="T6" s="1"/>
      <c r="U6" s="1"/>
      <c r="V6" s="1"/>
      <c r="W6" s="1"/>
      <c r="X6" s="1"/>
      <c r="Y6" s="1"/>
      <c r="Z6" s="1"/>
    </row>
    <row r="7" spans="1:26" ht="15.75" customHeight="1">
      <c r="A7" t="s" s="14">
        <v>118</v>
      </c>
      <c r="B7" s="107">
        <v>497500000000</v>
      </c>
      <c r="C7" s="110">
        <v>1</v>
      </c>
      <c r="D7" s="1"/>
      <c r="E7" s="1"/>
      <c r="F7" s="1"/>
      <c r="G7" s="1"/>
      <c r="H7" s="1"/>
      <c r="I7" s="1"/>
      <c r="J7" s="1"/>
      <c r="K7" s="1"/>
      <c r="L7" s="1"/>
      <c r="M7" s="1"/>
      <c r="N7" s="1"/>
      <c r="O7" s="1"/>
      <c r="P7" s="1"/>
      <c r="Q7" s="1"/>
      <c r="R7" s="1"/>
      <c r="S7" s="1"/>
      <c r="T7" s="1"/>
      <c r="U7" s="1"/>
      <c r="V7" s="1"/>
      <c r="W7" s="1"/>
      <c r="X7" s="1"/>
      <c r="Y7" s="1"/>
      <c r="Z7" s="1"/>
    </row>
    <row r="8" spans="1:26" ht="15.75" customHeight="1">
      <c r="A8" s="3"/>
      <c r="B8" s="26"/>
      <c r="C8" s="27"/>
      <c r="D8" s="1"/>
      <c r="E8" s="1"/>
      <c r="F8" s="1"/>
      <c r="G8" s="1"/>
      <c r="H8" s="1"/>
      <c r="I8" s="1"/>
      <c r="J8" s="1"/>
      <c r="K8" s="1"/>
      <c r="L8" s="1"/>
      <c r="M8" s="1"/>
      <c r="N8" s="1"/>
      <c r="O8" s="1"/>
      <c r="P8" s="1"/>
      <c r="Q8" s="1"/>
      <c r="R8" s="1"/>
      <c r="S8" s="1"/>
      <c r="T8" s="1"/>
      <c r="U8" s="1"/>
      <c r="V8" s="1"/>
      <c r="W8" s="1"/>
      <c r="X8" s="1"/>
      <c r="Y8" s="1"/>
      <c r="Z8" s="1"/>
    </row>
    <row r="9" spans="1:26" ht="15.75" customHeight="1">
      <c r="A9" s="28"/>
      <c r="B9" s="29"/>
      <c r="C9" s="30"/>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31"/>
      <c r="B12" s="32"/>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3"/>
      <c r="B13" s="33"/>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3"/>
      <c r="B14" s="33"/>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3"/>
      <c r="B15" s="33"/>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3"/>
      <c r="B16" s="33"/>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G1"/>
    <mergeCell ref="A3:C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sheetViews>
    <sheetView workbookViewId="0">
      <selection sqref="A1:E1"/>
    </sheetView>
  </sheetViews>
  <sheetFormatPr defaultColWidth="12.6328125" defaultRowHeight="15.75" customHeight="1"/>
  <cols>
    <col min="1" max="5" width="19.26953125" customWidth="1"/>
    <col min="6" max="6" width="17" customWidth="1"/>
  </cols>
  <sheetData>
    <row r="1" spans="1:37" ht="15.75" customHeight="1">
      <c r="A1" t="s" s="72">
        <v>44</v>
      </c>
      <c r="B1" s="73"/>
      <c r="C1" s="73"/>
      <c r="D1" s="73"/>
      <c r="E1" s="73"/>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15.75" customHeight="1">
      <c r="A3" t="s" s="75">
        <v>45</v>
      </c>
      <c r="B3" s="73"/>
      <c r="C3" s="73"/>
      <c r="D3" s="73"/>
      <c r="E3" s="73"/>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75" customHeight="1">
      <c r="A4" t="s" s="8">
        <v>5</v>
      </c>
      <c r="B4" t="s" s="8">
        <v>36</v>
      </c>
      <c r="C4" t="s" s="8">
        <v>38</v>
      </c>
      <c r="D4" t="s" s="8">
        <v>40</v>
      </c>
      <c r="E4" t="s" s="8">
        <v>42</v>
      </c>
      <c r="F4" t="s" s="8">
        <v>46</v>
      </c>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15.75" customHeight="1">
      <c r="A5" t="s" s="14">
        <v>307</v>
      </c>
      <c r="B5" s="111">
        <v>7900000000</v>
      </c>
      <c r="C5" s="133">
        <v>3300000000</v>
      </c>
      <c r="D5" s="155">
        <v>0</v>
      </c>
      <c r="E5" s="177">
        <v>0</v>
      </c>
      <c r="F5" s="199">
        <v>11200000000</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15.75" customHeight="1">
      <c r="A6" t="s" s="14">
        <v>308</v>
      </c>
      <c r="B6" s="112">
        <v>7700000000</v>
      </c>
      <c r="C6" s="134">
        <v>4500000000</v>
      </c>
      <c r="D6" s="156">
        <v>0</v>
      </c>
      <c r="E6" s="178">
        <v>0</v>
      </c>
      <c r="F6" s="200">
        <v>12200000000</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spans="1:37" ht="15.75" customHeight="1">
      <c r="A7" t="s" s="14">
        <v>309</v>
      </c>
      <c r="B7" s="113">
        <v>9800000000</v>
      </c>
      <c r="C7" s="135">
        <v>5000000000</v>
      </c>
      <c r="D7" s="157">
        <v>0</v>
      </c>
      <c r="E7" s="179">
        <v>0</v>
      </c>
      <c r="F7" s="201">
        <v>14800000000</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1:37" ht="15.75" customHeight="1">
      <c r="A8" t="s" s="14">
        <v>310</v>
      </c>
      <c r="B8" s="114">
        <v>9200000000</v>
      </c>
      <c r="C8" s="136">
        <v>5100000000</v>
      </c>
      <c r="D8" s="158">
        <v>0</v>
      </c>
      <c r="E8" s="180">
        <v>0</v>
      </c>
      <c r="F8" s="202">
        <v>14300000000</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1:37" ht="15.75" customHeight="1">
      <c r="A9" t="s" s="14">
        <v>311</v>
      </c>
      <c r="B9" s="115">
        <v>9100000000</v>
      </c>
      <c r="C9" s="137">
        <v>5400000000</v>
      </c>
      <c r="D9" s="159">
        <v>0</v>
      </c>
      <c r="E9" s="181">
        <v>0</v>
      </c>
      <c r="F9" s="203">
        <v>14500000000</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ht="15.75" customHeight="1">
      <c r="A10" t="s" s="14">
        <v>312</v>
      </c>
      <c r="B10" s="116">
        <v>6600000000</v>
      </c>
      <c r="C10" s="138">
        <v>4700000000</v>
      </c>
      <c r="D10" s="160">
        <v>0</v>
      </c>
      <c r="E10" s="182">
        <v>0</v>
      </c>
      <c r="F10" s="204">
        <v>11300000000</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1:37" ht="15.75" customHeight="1">
      <c r="A11" t="s" s="14">
        <v>313</v>
      </c>
      <c r="B11" s="117">
        <v>11500000000</v>
      </c>
      <c r="C11" s="139">
        <v>6000000000</v>
      </c>
      <c r="D11" s="161">
        <v>0</v>
      </c>
      <c r="E11" s="183">
        <v>0</v>
      </c>
      <c r="F11" s="205">
        <v>17500000000</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spans="1:37" ht="15.75" customHeight="1">
      <c r="A12" t="s" s="14">
        <v>314</v>
      </c>
      <c r="B12" s="118">
        <v>11100000000</v>
      </c>
      <c r="C12" s="140">
        <v>6400000000</v>
      </c>
      <c r="D12" s="162">
        <v>0</v>
      </c>
      <c r="E12" s="184">
        <v>0</v>
      </c>
      <c r="F12" s="206">
        <v>17500000000</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spans="1:37" ht="15.75" customHeight="1">
      <c r="A13" t="s" s="14">
        <v>315</v>
      </c>
      <c r="B13" s="119">
        <v>10200000000</v>
      </c>
      <c r="C13" s="141">
        <v>4700000000</v>
      </c>
      <c r="D13" s="163">
        <v>0</v>
      </c>
      <c r="E13" s="185">
        <v>0</v>
      </c>
      <c r="F13" s="207">
        <v>14900000000</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1:37" ht="15.75" customHeight="1">
      <c r="A14" t="s" s="14">
        <v>316</v>
      </c>
      <c r="B14" s="120">
        <v>10800000000</v>
      </c>
      <c r="C14" s="142">
        <v>4900000000</v>
      </c>
      <c r="D14" s="164">
        <v>0</v>
      </c>
      <c r="E14" s="186">
        <v>0</v>
      </c>
      <c r="F14" s="208">
        <v>15700000000</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spans="1:37" ht="15.75" customHeight="1">
      <c r="A15" t="s" s="14">
        <v>317</v>
      </c>
      <c r="B15" s="121">
        <v>10400000000</v>
      </c>
      <c r="C15" s="143">
        <v>5800000000</v>
      </c>
      <c r="D15" s="165">
        <v>0</v>
      </c>
      <c r="E15" s="187">
        <v>0</v>
      </c>
      <c r="F15" s="209">
        <v>16200000000</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1:37" ht="15.75" customHeight="1">
      <c r="A16" t="s" s="14">
        <v>318</v>
      </c>
      <c r="B16" s="122">
        <v>11500000000</v>
      </c>
      <c r="C16" s="144">
        <v>5200000000</v>
      </c>
      <c r="D16" s="166">
        <v>0</v>
      </c>
      <c r="E16" s="188">
        <v>0</v>
      </c>
      <c r="F16" s="210">
        <v>16700000000</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1:37" ht="15.75" customHeight="1">
      <c r="A17" t="s" s="14">
        <v>319</v>
      </c>
      <c r="B17" s="123">
        <v>12600000000</v>
      </c>
      <c r="C17" s="145">
        <v>4900000000</v>
      </c>
      <c r="D17" s="167">
        <v>0</v>
      </c>
      <c r="E17" s="189">
        <v>0</v>
      </c>
      <c r="F17" s="211">
        <v>17500000000</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1:37" ht="15.75" customHeight="1">
      <c r="A18" t="s" s="14">
        <v>320</v>
      </c>
      <c r="B18" s="124">
        <v>12800000000</v>
      </c>
      <c r="C18" s="146">
        <v>5400000000</v>
      </c>
      <c r="D18" s="168">
        <v>0</v>
      </c>
      <c r="E18" s="190">
        <v>0</v>
      </c>
      <c r="F18" s="212">
        <v>18200000000</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1:37" ht="15.75" customHeight="1">
      <c r="A19" t="s" s="14">
        <v>321</v>
      </c>
      <c r="B19" s="125">
        <v>14000000000</v>
      </c>
      <c r="C19" s="147">
        <v>5400000000</v>
      </c>
      <c r="D19" s="169">
        <v>0</v>
      </c>
      <c r="E19" s="191">
        <v>0</v>
      </c>
      <c r="F19" s="213">
        <v>19400000000</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1:37" ht="15.75" customHeight="1">
      <c r="A20" t="s" s="14">
        <v>322</v>
      </c>
      <c r="B20" s="126">
        <v>15700000000</v>
      </c>
      <c r="C20" s="148">
        <v>5500000000</v>
      </c>
      <c r="D20" s="170">
        <v>0</v>
      </c>
      <c r="E20" s="192">
        <v>0</v>
      </c>
      <c r="F20" s="214">
        <v>21200000000</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1:37" ht="15.75" customHeight="1">
      <c r="A21" t="s" s="14">
        <v>323</v>
      </c>
      <c r="B21" s="127">
        <v>15600000000</v>
      </c>
      <c r="C21" s="149">
        <v>6600000000</v>
      </c>
      <c r="D21" s="171">
        <v>0</v>
      </c>
      <c r="E21" s="193">
        <v>0</v>
      </c>
      <c r="F21" s="215">
        <v>22200000000</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1:37" ht="15.75" customHeight="1">
      <c r="A22" t="s" s="14">
        <v>324</v>
      </c>
      <c r="B22" s="128">
        <v>16600000000</v>
      </c>
      <c r="C22" s="150">
        <v>7300000000</v>
      </c>
      <c r="D22" s="172">
        <v>0</v>
      </c>
      <c r="E22" s="194">
        <v>0</v>
      </c>
      <c r="F22" s="216">
        <v>23900000000</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1:37" ht="15.5">
      <c r="A23" t="s" s="14">
        <v>325</v>
      </c>
      <c r="B23" s="129">
        <v>16800000000</v>
      </c>
      <c r="C23" s="151">
        <v>5600000000</v>
      </c>
      <c r="D23" s="173">
        <v>0</v>
      </c>
      <c r="E23" s="195">
        <v>0</v>
      </c>
      <c r="F23" s="217">
        <v>22400000000</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1:37" ht="15.5">
      <c r="A24" t="s" s="14">
        <v>326</v>
      </c>
      <c r="B24" s="130">
        <v>23200000000</v>
      </c>
      <c r="C24" s="152">
        <v>9800000000</v>
      </c>
      <c r="D24" s="174">
        <v>0</v>
      </c>
      <c r="E24" s="196">
        <v>0</v>
      </c>
      <c r="F24" s="218">
        <v>33000000000</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1:37" ht="15.5">
      <c r="A25" t="s" s="14">
        <v>327</v>
      </c>
      <c r="B25" s="131">
        <v>19000000000</v>
      </c>
      <c r="C25" s="153">
        <v>9600000000</v>
      </c>
      <c r="D25" s="175">
        <v>0</v>
      </c>
      <c r="E25" s="197">
        <v>0</v>
      </c>
      <c r="F25" s="219">
        <v>28600000000</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1:37" ht="15.5">
      <c r="A26" t="s" s="14">
        <v>328</v>
      </c>
      <c r="B26" s="132">
        <v>21300000000</v>
      </c>
      <c r="C26" s="154">
        <v>11400000000</v>
      </c>
      <c r="D26" s="176">
        <v>0</v>
      </c>
      <c r="E26" s="198">
        <v>0</v>
      </c>
      <c r="F26" s="220">
        <v>32700000000</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1:37" ht="15.5">
      <c r="A27" s="14"/>
      <c r="B27" s="11"/>
      <c r="C27" s="11"/>
      <c r="D27" s="11"/>
      <c r="E27" s="11"/>
      <c r="F27" s="10"/>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1:37" ht="15.5">
      <c r="A28" s="14"/>
      <c r="B28" s="11"/>
      <c r="C28" s="11"/>
      <c r="D28" s="11"/>
      <c r="E28" s="11"/>
      <c r="F28" s="10"/>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ht="15.5">
      <c r="A29" s="14"/>
      <c r="B29" s="11"/>
      <c r="C29" s="11"/>
      <c r="D29" s="11"/>
      <c r="E29" s="11"/>
      <c r="F29" s="10"/>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1:37" ht="15.5">
      <c r="A30" s="14"/>
      <c r="B30" s="11"/>
      <c r="C30" s="11"/>
      <c r="D30" s="11"/>
      <c r="E30" s="11"/>
      <c r="F30" s="10"/>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1:37" ht="15.5">
      <c r="A31" s="14"/>
      <c r="B31" s="11"/>
      <c r="C31" s="11"/>
      <c r="D31" s="11"/>
      <c r="E31" s="11"/>
      <c r="F31" s="10"/>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ht="15.5">
      <c r="A32" s="14"/>
      <c r="B32" s="11"/>
      <c r="C32" s="11"/>
      <c r="D32" s="11"/>
      <c r="E32" s="11"/>
      <c r="F32" s="10"/>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ht="15.5">
      <c r="A33" s="14"/>
      <c r="B33" s="11"/>
      <c r="C33" s="11"/>
      <c r="D33" s="11"/>
      <c r="E33" s="11"/>
      <c r="F33" s="10"/>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ht="15.5">
      <c r="A34" s="14"/>
      <c r="B34" s="11"/>
      <c r="C34" s="11"/>
      <c r="D34" s="11"/>
      <c r="E34" s="11"/>
      <c r="F34" s="10"/>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ht="15.5">
      <c r="A35" s="14"/>
      <c r="B35" s="11"/>
      <c r="C35" s="11"/>
      <c r="D35" s="11"/>
      <c r="E35" s="11"/>
      <c r="F35" s="10"/>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15.5">
      <c r="A36" s="14"/>
      <c r="B36" s="11"/>
      <c r="C36" s="11"/>
      <c r="D36" s="11"/>
      <c r="E36" s="11"/>
      <c r="F36" s="10"/>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15.5">
      <c r="A37" s="14"/>
      <c r="B37" s="11"/>
      <c r="C37" s="11"/>
      <c r="D37" s="11"/>
      <c r="E37" s="11"/>
      <c r="F37" s="10"/>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ht="15.5">
      <c r="A38" s="14"/>
      <c r="B38" s="11"/>
      <c r="C38" s="11"/>
      <c r="D38" s="11"/>
      <c r="E38" s="11"/>
      <c r="F38" s="10"/>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ht="15.5">
      <c r="A39" s="14"/>
      <c r="B39" s="11"/>
      <c r="C39" s="11"/>
      <c r="D39" s="11"/>
      <c r="E39" s="11"/>
      <c r="F39" s="10"/>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ht="15.5">
      <c r="A40" s="14"/>
      <c r="B40" s="11"/>
      <c r="C40" s="11"/>
      <c r="D40" s="11"/>
      <c r="E40" s="11"/>
      <c r="F40" s="10"/>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ht="15.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ht="15.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5.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5.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15.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ht="15.5">
      <c r="A46" s="8"/>
      <c r="B46" s="14"/>
      <c r="C46" s="14"/>
      <c r="D46" s="14"/>
      <c r="E46" s="14"/>
      <c r="F46" s="14"/>
      <c r="G46" t="s" s="14">
        <v>52</v>
      </c>
      <c r="H46" t="s" s="14">
        <v>53</v>
      </c>
      <c r="I46" t="s" s="14">
        <v>54</v>
      </c>
      <c r="J46" t="s" s="14">
        <v>55</v>
      </c>
      <c r="K46" t="s" s="14">
        <v>56</v>
      </c>
      <c r="L46" t="s" s="14">
        <v>57</v>
      </c>
      <c r="M46" t="s" s="14">
        <v>58</v>
      </c>
      <c r="N46" t="s" s="14">
        <v>59</v>
      </c>
      <c r="O46" t="s" s="14">
        <v>60</v>
      </c>
      <c r="P46" t="s" s="14">
        <v>61</v>
      </c>
      <c r="Q46" t="s" s="14">
        <v>62</v>
      </c>
      <c r="R46" t="s" s="14">
        <v>63</v>
      </c>
      <c r="S46" t="s" s="14">
        <v>64</v>
      </c>
      <c r="T46" t="s" s="14">
        <v>65</v>
      </c>
      <c r="U46" t="s" s="14">
        <v>66</v>
      </c>
      <c r="V46" t="s" s="14">
        <v>67</v>
      </c>
      <c r="W46" t="s" s="14">
        <v>68</v>
      </c>
      <c r="X46" t="s" s="14">
        <v>69</v>
      </c>
      <c r="Y46" t="s" s="14">
        <v>70</v>
      </c>
      <c r="Z46" t="s" s="14">
        <v>71</v>
      </c>
      <c r="AA46" t="s" s="14">
        <v>72</v>
      </c>
      <c r="AB46" t="s" s="14">
        <v>73</v>
      </c>
      <c r="AC46" t="s" s="14">
        <v>74</v>
      </c>
      <c r="AD46" t="s" s="14">
        <v>75</v>
      </c>
      <c r="AE46" t="s" s="14">
        <v>76</v>
      </c>
      <c r="AF46" t="s" s="14">
        <v>77</v>
      </c>
      <c r="AG46" t="s" s="14">
        <v>78</v>
      </c>
      <c r="AH46" t="s" s="14">
        <v>79</v>
      </c>
      <c r="AI46" t="s" s="14">
        <v>80</v>
      </c>
      <c r="AJ46" t="s" s="14">
        <v>81</v>
      </c>
      <c r="AK46" t="s" s="14">
        <v>82</v>
      </c>
    </row>
    <row r="47" spans="1:37" ht="15.5">
      <c r="A47" s="8"/>
      <c r="B47" s="11"/>
      <c r="C47" s="11"/>
      <c r="D47" s="11"/>
      <c r="E47" s="11"/>
      <c r="F47" s="11"/>
      <c r="G47" s="11">
        <v>2220000000</v>
      </c>
      <c r="H47" s="11">
        <v>2780000000</v>
      </c>
      <c r="I47" s="11">
        <v>2300000000</v>
      </c>
      <c r="J47" s="11">
        <v>2600000000</v>
      </c>
      <c r="K47" s="11">
        <v>1150000000</v>
      </c>
      <c r="L47" s="11">
        <v>930000000</v>
      </c>
      <c r="M47" s="11">
        <v>1500000000</v>
      </c>
      <c r="N47" s="11">
        <v>1250000000</v>
      </c>
      <c r="O47" s="11">
        <v>1550000000</v>
      </c>
      <c r="P47" s="11">
        <v>280000000</v>
      </c>
      <c r="Q47" s="11">
        <v>920000000</v>
      </c>
      <c r="R47" s="11">
        <v>1250000000</v>
      </c>
      <c r="S47" s="11">
        <v>1350000000</v>
      </c>
      <c r="T47" s="11">
        <v>1450000000</v>
      </c>
      <c r="U47" s="11">
        <v>1200000000</v>
      </c>
      <c r="V47" s="11">
        <v>920000000</v>
      </c>
      <c r="W47" s="11">
        <v>650000000</v>
      </c>
      <c r="X47" s="11">
        <v>700000000</v>
      </c>
      <c r="Y47" s="11">
        <v>730000000</v>
      </c>
      <c r="Z47" s="11">
        <v>660000000</v>
      </c>
      <c r="AA47" s="11">
        <v>780000000</v>
      </c>
      <c r="AB47" s="11">
        <v>1320000000</v>
      </c>
      <c r="AC47" s="11">
        <v>1600000000</v>
      </c>
      <c r="AD47" s="11">
        <v>1400000000</v>
      </c>
      <c r="AE47" s="11">
        <v>1660000000</v>
      </c>
      <c r="AF47" s="11">
        <v>1560000000</v>
      </c>
      <c r="AG47" s="11">
        <v>1100000000</v>
      </c>
      <c r="AH47" s="11">
        <v>650000000</v>
      </c>
      <c r="AI47" s="11">
        <v>2050000000</v>
      </c>
      <c r="AJ47" s="11">
        <v>1800000000</v>
      </c>
      <c r="AK47" s="11">
        <v>270000000</v>
      </c>
    </row>
    <row r="48" spans="1:37" ht="15.5">
      <c r="A48" s="8"/>
      <c r="B48" s="11"/>
      <c r="C48" s="11"/>
      <c r="D48" s="11"/>
      <c r="E48" s="11"/>
      <c r="F48" s="11"/>
      <c r="G48" s="11">
        <v>320000000</v>
      </c>
      <c r="H48" s="11">
        <v>330000000</v>
      </c>
      <c r="I48" s="11">
        <v>320000000</v>
      </c>
      <c r="J48" s="11">
        <v>280000000</v>
      </c>
      <c r="K48" s="11">
        <v>290000000</v>
      </c>
      <c r="L48" s="11">
        <v>280000000</v>
      </c>
      <c r="M48" s="11">
        <v>300000000</v>
      </c>
      <c r="N48" s="11">
        <v>330000000</v>
      </c>
      <c r="O48" s="11">
        <v>360000000</v>
      </c>
      <c r="P48" s="11">
        <v>250000000</v>
      </c>
      <c r="Q48" s="11">
        <v>370000000</v>
      </c>
      <c r="R48" s="11">
        <v>520000000</v>
      </c>
      <c r="S48" s="11">
        <v>300000000</v>
      </c>
      <c r="T48" s="11">
        <v>320000000</v>
      </c>
      <c r="U48" s="11">
        <v>270000000</v>
      </c>
      <c r="V48" s="11">
        <v>240000000</v>
      </c>
      <c r="W48" s="11">
        <v>200000000</v>
      </c>
      <c r="X48" s="11">
        <v>210000000</v>
      </c>
      <c r="Y48" s="11">
        <v>250000000</v>
      </c>
      <c r="Z48" s="11">
        <v>260000000</v>
      </c>
      <c r="AA48" s="11">
        <v>270000000</v>
      </c>
      <c r="AB48" s="11">
        <v>250000000</v>
      </c>
      <c r="AC48" s="11">
        <v>270000000</v>
      </c>
      <c r="AD48" s="11">
        <v>280000000</v>
      </c>
      <c r="AE48" s="11">
        <v>310000000</v>
      </c>
      <c r="AF48" s="11">
        <v>330000000</v>
      </c>
      <c r="AG48" s="11">
        <v>460000000</v>
      </c>
      <c r="AH48" s="11">
        <v>150000000</v>
      </c>
      <c r="AI48" s="11">
        <v>280000000</v>
      </c>
      <c r="AJ48" s="11">
        <v>250000000</v>
      </c>
      <c r="AK48" s="11">
        <v>60000000</v>
      </c>
    </row>
    <row r="49" spans="1:37" ht="15.5">
      <c r="A49" s="8"/>
      <c r="B49" s="11"/>
      <c r="C49" s="11"/>
      <c r="D49" s="11"/>
      <c r="E49" s="11"/>
      <c r="F49" s="11"/>
      <c r="G49" s="11">
        <v>110000000</v>
      </c>
      <c r="H49" s="11">
        <v>80000000</v>
      </c>
      <c r="I49" s="11">
        <v>70000000</v>
      </c>
      <c r="J49" s="11">
        <v>80000000</v>
      </c>
      <c r="K49" s="11">
        <v>90000000</v>
      </c>
      <c r="L49" s="11">
        <v>110000000</v>
      </c>
      <c r="M49" s="11">
        <v>70000000</v>
      </c>
      <c r="N49" s="11">
        <v>60000000</v>
      </c>
      <c r="O49" s="11">
        <v>60000000</v>
      </c>
      <c r="P49" s="11">
        <v>60000000</v>
      </c>
      <c r="Q49" s="11">
        <v>50000000</v>
      </c>
      <c r="R49" s="11">
        <v>70000000</v>
      </c>
      <c r="S49" s="11">
        <v>70000000</v>
      </c>
      <c r="T49" s="11">
        <v>60000000</v>
      </c>
      <c r="U49" s="11">
        <v>50000000</v>
      </c>
      <c r="V49" s="11">
        <v>40000000</v>
      </c>
      <c r="W49" s="11">
        <v>50000000</v>
      </c>
      <c r="X49" s="11">
        <v>50000000</v>
      </c>
      <c r="Y49" s="11">
        <v>50000000</v>
      </c>
      <c r="Z49" s="11">
        <v>40000000</v>
      </c>
      <c r="AA49" s="11">
        <v>50000000</v>
      </c>
      <c r="AB49" s="11">
        <v>40000000</v>
      </c>
      <c r="AC49" s="11">
        <v>40000000</v>
      </c>
      <c r="AD49" s="11">
        <v>40000000</v>
      </c>
      <c r="AE49" s="11">
        <v>40000000</v>
      </c>
      <c r="AF49" s="11">
        <v>40000000</v>
      </c>
      <c r="AG49" s="11">
        <v>40000000</v>
      </c>
      <c r="AH49" s="11">
        <v>40000000</v>
      </c>
      <c r="AI49" s="11">
        <v>40000000</v>
      </c>
      <c r="AJ49" s="11">
        <v>30000000</v>
      </c>
      <c r="AK49" s="11">
        <v>20000000</v>
      </c>
    </row>
    <row r="50" spans="1:37" ht="15.5">
      <c r="A50" s="8"/>
      <c r="B50" s="11"/>
      <c r="C50" s="11"/>
      <c r="D50" s="11"/>
      <c r="E50" s="11"/>
      <c r="F50" s="11"/>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c r="AG50" s="11">
        <v>0</v>
      </c>
      <c r="AH50" s="11">
        <v>0</v>
      </c>
      <c r="AI50" s="11">
        <v>0</v>
      </c>
      <c r="AJ50" s="11">
        <v>0</v>
      </c>
      <c r="AK50" s="11">
        <v>0</v>
      </c>
    </row>
    <row r="51" spans="1:37" ht="15.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15.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15.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15.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1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15.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15.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15.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5.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5.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15.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15.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5.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5.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15.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5.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15.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15.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15.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15.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15.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15.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5.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15.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15.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15.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5.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5.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5.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5.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5.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5.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5.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5.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5.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5.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5.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5.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5.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5.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5.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5.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5.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5.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5.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5.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5.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5.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5.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2">
    <mergeCell ref="A1:E1"/>
    <mergeCell ref="A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sheetViews>
    <sheetView topLeftCell="A4" zoomScale="70" zoomScaleNormal="70" workbookViewId="0">
      <selection activeCell="G28" sqref="G28"/>
    </sheetView>
  </sheetViews>
  <sheetFormatPr defaultColWidth="12.6328125" defaultRowHeight="15.75" customHeight="1"/>
  <cols>
    <col min="1" max="6" width="25.453125" customWidth="1"/>
    <col min="8" max="9" width="25.7265625" customWidth="1"/>
  </cols>
  <sheetData>
    <row r="1" spans="1:26" ht="15.75" customHeight="1">
      <c r="A1" t="s" s="72">
        <v>83</v>
      </c>
      <c r="B1" s="73"/>
      <c r="C1" s="73"/>
      <c r="D1" s="73"/>
      <c r="E1" s="73"/>
      <c r="F1" s="73"/>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t="s" s="76">
        <v>84</v>
      </c>
      <c r="B4" s="73"/>
      <c r="C4" s="73"/>
      <c r="D4" s="73"/>
      <c r="E4" s="73"/>
      <c r="F4" s="73"/>
      <c r="G4" s="2"/>
      <c r="H4" s="2"/>
      <c r="I4" s="2"/>
      <c r="J4" s="2"/>
      <c r="K4" s="2"/>
      <c r="L4" s="2"/>
      <c r="M4" s="2"/>
      <c r="N4" s="2"/>
      <c r="O4" s="2"/>
      <c r="P4" s="2"/>
      <c r="Q4" s="2"/>
      <c r="R4" s="2"/>
      <c r="S4" s="2"/>
      <c r="T4" s="2"/>
      <c r="U4" s="2"/>
      <c r="V4" s="2"/>
      <c r="W4" s="2"/>
      <c r="X4" s="2"/>
      <c r="Y4" s="2"/>
      <c r="Z4" s="2"/>
    </row>
    <row r="5" spans="1:26" ht="15.75" customHeight="1">
      <c r="A5" t="s" s="35">
        <v>85</v>
      </c>
      <c r="B5" t="s" s="35">
        <v>38</v>
      </c>
      <c r="C5" t="s" s="35">
        <v>40</v>
      </c>
      <c r="D5" t="s" s="35">
        <v>42</v>
      </c>
      <c r="E5" t="s" s="35">
        <v>86</v>
      </c>
      <c r="F5" t="s" s="35">
        <v>46</v>
      </c>
      <c r="G5" s="2"/>
      <c r="H5" s="2">
        <f t="shared" ref="H5:H17" si="0">A5</f>
      </c>
      <c r="I5" s="2">
        <f t="shared" ref="I5:I17" si="1">F5</f>
      </c>
      <c r="J5" s="2"/>
      <c r="K5" s="2"/>
      <c r="L5" s="2"/>
      <c r="M5" s="2"/>
      <c r="N5" s="2"/>
      <c r="O5" s="2"/>
      <c r="P5" s="2"/>
      <c r="Q5" s="2"/>
      <c r="R5" s="2"/>
      <c r="S5" s="2"/>
      <c r="T5" s="2"/>
      <c r="U5" s="2"/>
      <c r="V5" s="2"/>
      <c r="W5" s="2"/>
      <c r="X5" s="2"/>
      <c r="Y5" s="2"/>
      <c r="Z5" s="2"/>
    </row>
    <row r="6" spans="1:26" ht="15.75" customHeight="1">
      <c r="A6" t="s" s="2">
        <v>329</v>
      </c>
      <c r="B6" s="221">
        <v>154600000000</v>
      </c>
      <c r="C6" s="227">
        <v>0</v>
      </c>
      <c r="D6" s="233">
        <v>0</v>
      </c>
      <c r="E6" s="239">
        <v>335500000000</v>
      </c>
      <c r="F6" s="245">
        <v>490100000000</v>
      </c>
      <c r="G6" s="2"/>
      <c r="H6" s="2">
        <f t="shared" si="0"/>
      </c>
      <c r="I6" s="37">
        <f t="shared" si="1"/>
      </c>
      <c r="J6" s="2"/>
      <c r="K6" s="2"/>
      <c r="L6" s="2"/>
      <c r="M6" s="2"/>
      <c r="N6" s="2"/>
      <c r="O6" s="2"/>
      <c r="P6" s="2"/>
      <c r="Q6" s="2"/>
      <c r="R6" s="2"/>
      <c r="S6" s="2"/>
      <c r="T6" s="2"/>
      <c r="U6" s="2"/>
      <c r="V6" s="2"/>
      <c r="W6" s="2"/>
      <c r="X6" s="2"/>
      <c r="Y6" s="2"/>
      <c r="Z6" s="2"/>
    </row>
    <row r="7" spans="1:26" ht="15.75" customHeight="1">
      <c r="A7" t="s" s="2">
        <v>330</v>
      </c>
      <c r="B7" s="222">
        <v>2600000000</v>
      </c>
      <c r="C7" s="228">
        <v>0</v>
      </c>
      <c r="D7" s="234">
        <v>0</v>
      </c>
      <c r="E7" s="240">
        <v>687600000</v>
      </c>
      <c r="F7" s="246">
        <v>3287600000</v>
      </c>
      <c r="G7" s="2"/>
      <c r="H7" s="2">
        <f t="shared" si="0"/>
      </c>
      <c r="I7" s="37">
        <f t="shared" si="1"/>
      </c>
      <c r="J7" s="2"/>
      <c r="K7" s="2"/>
      <c r="L7" s="2"/>
      <c r="M7" s="2"/>
      <c r="N7" s="2"/>
      <c r="O7" s="2"/>
      <c r="P7" s="2"/>
      <c r="Q7" s="2"/>
      <c r="R7" s="2"/>
      <c r="S7" s="2"/>
      <c r="T7" s="2"/>
      <c r="U7" s="2"/>
      <c r="V7" s="2"/>
      <c r="W7" s="2"/>
      <c r="X7" s="2"/>
      <c r="Y7" s="2"/>
      <c r="Z7" s="2"/>
    </row>
    <row r="8" spans="1:26" ht="15.75" customHeight="1">
      <c r="A8" t="s" s="2">
        <v>331</v>
      </c>
      <c r="B8" s="223">
        <v>21600000</v>
      </c>
      <c r="C8" s="229">
        <v>0</v>
      </c>
      <c r="D8" s="235">
        <v>0</v>
      </c>
      <c r="E8" s="241">
        <v>1900000000</v>
      </c>
      <c r="F8" s="247">
        <v>1921600000</v>
      </c>
      <c r="G8" s="2"/>
      <c r="H8" s="2">
        <f t="shared" si="0"/>
      </c>
      <c r="I8" s="37">
        <f t="shared" si="1"/>
      </c>
      <c r="J8" s="2"/>
      <c r="K8" s="2"/>
      <c r="L8" s="2"/>
      <c r="M8" s="2"/>
      <c r="N8" s="2"/>
      <c r="O8" s="2"/>
      <c r="P8" s="2"/>
      <c r="Q8" s="2"/>
      <c r="R8" s="2"/>
      <c r="S8" s="2"/>
      <c r="T8" s="2"/>
      <c r="U8" s="2"/>
      <c r="V8" s="2"/>
      <c r="W8" s="2"/>
      <c r="X8" s="2"/>
      <c r="Y8" s="2"/>
      <c r="Z8" s="2"/>
    </row>
    <row r="9" spans="1:26" ht="15.75" customHeight="1">
      <c r="A9" t="s" s="2">
        <v>332</v>
      </c>
      <c r="B9" s="224">
        <v>1700000000</v>
      </c>
      <c r="C9" s="230">
        <v>0</v>
      </c>
      <c r="D9" s="236">
        <v>0</v>
      </c>
      <c r="E9" s="242">
        <v>0</v>
      </c>
      <c r="F9" s="248">
        <v>1700000000</v>
      </c>
      <c r="G9" s="2"/>
      <c r="H9" s="2">
        <f t="shared" si="0"/>
      </c>
      <c r="I9" s="37">
        <f t="shared" si="1"/>
      </c>
      <c r="J9" s="2"/>
      <c r="K9" s="2"/>
      <c r="L9" s="2"/>
      <c r="M9" s="2"/>
      <c r="N9" s="2"/>
      <c r="O9" s="2"/>
      <c r="P9" s="2"/>
      <c r="Q9" s="2"/>
      <c r="R9" s="2"/>
      <c r="S9" s="2"/>
      <c r="T9" s="2"/>
      <c r="U9" s="2"/>
      <c r="V9" s="2"/>
      <c r="W9" s="2"/>
      <c r="X9" s="2"/>
      <c r="Y9" s="2"/>
      <c r="Z9" s="2"/>
    </row>
    <row r="10" spans="1:26" ht="15.75" customHeight="1">
      <c r="A10" t="s" s="2">
        <v>333</v>
      </c>
      <c r="B10" s="225">
        <v>0</v>
      </c>
      <c r="C10" s="231">
        <v>0</v>
      </c>
      <c r="D10" s="237">
        <v>0</v>
      </c>
      <c r="E10" s="243">
        <v>405100000</v>
      </c>
      <c r="F10" s="249">
        <v>405100000</v>
      </c>
      <c r="G10" s="2"/>
      <c r="H10" s="2">
        <f t="shared" si="0"/>
      </c>
      <c r="I10" s="37">
        <f t="shared" si="1"/>
      </c>
      <c r="J10" s="2"/>
      <c r="K10" s="2"/>
      <c r="L10" s="2"/>
      <c r="M10" s="2"/>
      <c r="N10" s="2"/>
      <c r="O10" s="2"/>
      <c r="P10" s="2"/>
      <c r="Q10" s="2"/>
      <c r="R10" s="2"/>
      <c r="S10" s="2"/>
      <c r="T10" s="2"/>
      <c r="U10" s="2"/>
      <c r="V10" s="2"/>
      <c r="W10" s="2"/>
      <c r="X10" s="2"/>
      <c r="Y10" s="2"/>
      <c r="Z10" s="2"/>
    </row>
    <row r="11" spans="1:26" ht="15.75" customHeight="1">
      <c r="A11" t="s" s="2">
        <v>334</v>
      </c>
      <c r="B11" s="226">
        <v>29500000</v>
      </c>
      <c r="C11" s="232">
        <v>0</v>
      </c>
      <c r="D11" s="238">
        <v>0</v>
      </c>
      <c r="E11" s="244">
        <v>0</v>
      </c>
      <c r="F11" s="250">
        <v>29500000</v>
      </c>
      <c r="G11" s="2"/>
      <c r="H11" s="2">
        <f t="shared" si="0"/>
      </c>
      <c r="I11" s="37">
        <f t="shared" si="1"/>
      </c>
      <c r="J11" s="2"/>
      <c r="K11" s="2"/>
      <c r="L11" s="2"/>
      <c r="M11" s="2"/>
      <c r="N11" s="2"/>
      <c r="O11" s="2"/>
      <c r="P11" s="2"/>
      <c r="Q11" s="2"/>
      <c r="R11" s="2"/>
      <c r="S11" s="2"/>
      <c r="T11" s="2"/>
      <c r="U11" s="2"/>
      <c r="V11" s="2"/>
      <c r="W11" s="2"/>
      <c r="X11" s="2"/>
      <c r="Y11" s="2"/>
      <c r="Z11" s="2"/>
    </row>
    <row r="12" spans="1:26" ht="15.75" customHeight="1">
      <c r="A12" s="2"/>
      <c r="B12" s="36"/>
      <c r="C12" s="36"/>
      <c r="D12" s="36"/>
      <c r="E12" s="36"/>
      <c r="F12" s="36"/>
      <c r="G12" s="2"/>
      <c r="H12" s="2">
        <f t="shared" si="0"/>
      </c>
      <c r="I12" s="37">
        <f t="shared" si="1"/>
      </c>
      <c r="J12" s="2"/>
      <c r="K12" s="2"/>
      <c r="L12" s="2"/>
      <c r="M12" s="2"/>
      <c r="N12" s="2"/>
      <c r="O12" s="2"/>
      <c r="P12" s="2"/>
      <c r="Q12" s="2"/>
      <c r="R12" s="2"/>
      <c r="S12" s="2"/>
      <c r="T12" s="2"/>
      <c r="U12" s="2"/>
      <c r="V12" s="2"/>
      <c r="W12" s="2"/>
      <c r="X12" s="2"/>
      <c r="Y12" s="2"/>
      <c r="Z12" s="2"/>
    </row>
    <row r="13" spans="1:26" ht="15.75" customHeight="1">
      <c r="A13" s="2"/>
      <c r="B13" s="36"/>
      <c r="C13" s="36"/>
      <c r="D13" s="36"/>
      <c r="E13" s="36"/>
      <c r="F13" s="36"/>
      <c r="G13" s="2"/>
      <c r="H13" s="2">
        <f t="shared" si="0"/>
      </c>
      <c r="I13" s="37">
        <f t="shared" si="1"/>
      </c>
      <c r="J13" s="2"/>
      <c r="K13" s="2"/>
      <c r="L13" s="2"/>
      <c r="M13" s="2"/>
      <c r="N13" s="2"/>
      <c r="O13" s="2"/>
      <c r="P13" s="2"/>
      <c r="Q13" s="2"/>
      <c r="R13" s="2"/>
      <c r="S13" s="2"/>
      <c r="T13" s="2"/>
      <c r="U13" s="2"/>
      <c r="V13" s="2"/>
      <c r="W13" s="2"/>
      <c r="X13" s="2"/>
      <c r="Y13" s="2"/>
      <c r="Z13" s="2"/>
    </row>
    <row r="14" spans="1:26" ht="15.75" customHeight="1">
      <c r="A14" s="2"/>
      <c r="B14" s="36"/>
      <c r="C14" s="36"/>
      <c r="D14" s="36"/>
      <c r="E14" s="36"/>
      <c r="F14" s="36"/>
      <c r="G14" s="2"/>
      <c r="H14" s="2">
        <f t="shared" si="0"/>
      </c>
      <c r="I14" s="37">
        <f t="shared" si="1"/>
      </c>
      <c r="J14" s="2"/>
      <c r="K14" s="2"/>
      <c r="L14" s="2"/>
      <c r="M14" s="2"/>
      <c r="N14" s="2"/>
      <c r="O14" s="2"/>
      <c r="P14" s="2"/>
      <c r="Q14" s="2"/>
      <c r="R14" s="2"/>
      <c r="S14" s="2"/>
      <c r="T14" s="2"/>
      <c r="U14" s="2"/>
      <c r="V14" s="2"/>
      <c r="W14" s="2"/>
      <c r="X14" s="2"/>
      <c r="Y14" s="2"/>
      <c r="Z14" s="2"/>
    </row>
    <row r="15" spans="1:26" ht="15.75" customHeight="1">
      <c r="A15" s="2"/>
      <c r="B15" s="36"/>
      <c r="C15" s="36"/>
      <c r="D15" s="36"/>
      <c r="E15" s="36"/>
      <c r="F15" s="36"/>
      <c r="G15" s="2"/>
      <c r="H15" s="2">
        <f t="shared" si="0"/>
      </c>
      <c r="I15" s="37">
        <f t="shared" si="1"/>
      </c>
      <c r="J15" s="2"/>
      <c r="K15" s="2"/>
      <c r="L15" s="2"/>
      <c r="M15" s="2"/>
      <c r="N15" s="2"/>
      <c r="O15" s="2"/>
      <c r="P15" s="2"/>
      <c r="Q15" s="2"/>
      <c r="R15" s="2"/>
      <c r="S15" s="2"/>
      <c r="T15" s="2"/>
      <c r="U15" s="2"/>
      <c r="V15" s="2"/>
      <c r="W15" s="2"/>
      <c r="X15" s="2"/>
      <c r="Y15" s="2"/>
      <c r="Z15" s="2"/>
    </row>
    <row r="16" spans="1:26" ht="15.75" customHeight="1">
      <c r="A16" s="2"/>
      <c r="B16" s="36"/>
      <c r="C16" s="36"/>
      <c r="D16" s="36"/>
      <c r="E16" s="36"/>
      <c r="F16" s="36"/>
      <c r="G16" s="2"/>
      <c r="H16" s="2">
        <f t="shared" si="0"/>
      </c>
      <c r="I16" s="37">
        <f t="shared" si="1"/>
      </c>
      <c r="J16" s="2"/>
      <c r="K16" s="2"/>
      <c r="L16" s="2"/>
      <c r="M16" s="2"/>
      <c r="N16" s="2"/>
      <c r="O16" s="2"/>
      <c r="P16" s="2"/>
      <c r="Q16" s="2"/>
      <c r="R16" s="2"/>
      <c r="S16" s="2"/>
      <c r="T16" s="2"/>
      <c r="U16" s="2"/>
      <c r="V16" s="2"/>
      <c r="W16" s="2"/>
      <c r="X16" s="2"/>
      <c r="Y16" s="2"/>
      <c r="Z16" s="2"/>
    </row>
    <row r="17" spans="1:26" ht="15.75" customHeight="1">
      <c r="A17" s="2"/>
      <c r="B17" s="36"/>
      <c r="C17" s="36"/>
      <c r="D17" s="36"/>
      <c r="E17" s="36"/>
      <c r="F17" s="36"/>
      <c r="G17" s="2"/>
      <c r="H17" s="2">
        <f t="shared" si="0"/>
      </c>
      <c r="I17" s="37">
        <f t="shared" si="1"/>
      </c>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t="s" s="35">
        <v>85</v>
      </c>
      <c r="I19" t="s" s="2">
        <v>87</v>
      </c>
      <c r="J19" s="2"/>
      <c r="K19" s="2"/>
      <c r="L19" s="2"/>
      <c r="M19" s="2"/>
      <c r="N19" s="2"/>
      <c r="O19" s="2"/>
      <c r="P19" s="2"/>
      <c r="Q19" s="2"/>
      <c r="R19" s="2"/>
      <c r="S19" s="2"/>
      <c r="T19" s="2"/>
      <c r="U19" s="2"/>
      <c r="V19" s="2"/>
      <c r="W19" s="2"/>
      <c r="X19" s="2"/>
      <c r="Y19" s="2"/>
      <c r="Z19" s="2"/>
    </row>
    <row r="20" spans="1:26" ht="15.75" customHeight="1">
      <c r="A20" s="35"/>
      <c r="B20" s="35"/>
      <c r="C20" s="35"/>
      <c r="D20" s="35"/>
      <c r="E20" s="35"/>
      <c r="F20" s="2"/>
      <c r="G20" s="2"/>
      <c r="H20" t="s" s="35">
        <v>38</v>
      </c>
      <c r="I20" s="36">
        <v>27500000000</v>
      </c>
      <c r="J20" s="2"/>
      <c r="K20" s="2"/>
      <c r="L20" s="2"/>
      <c r="M20" s="2"/>
      <c r="N20" s="2"/>
      <c r="O20" s="2"/>
      <c r="P20" s="2"/>
      <c r="Q20" s="2"/>
      <c r="R20" s="2"/>
      <c r="S20" s="2"/>
      <c r="T20" s="2"/>
      <c r="U20" s="2"/>
      <c r="V20" s="2"/>
      <c r="W20" s="2"/>
      <c r="X20" s="2"/>
      <c r="Y20" s="2"/>
      <c r="Z20" s="2"/>
    </row>
    <row r="21" spans="1:26" ht="15.75" customHeight="1">
      <c r="A21" s="2"/>
      <c r="B21" s="37"/>
      <c r="C21" s="37"/>
      <c r="D21" s="37"/>
      <c r="E21" s="37"/>
      <c r="F21" s="2"/>
      <c r="G21" s="2"/>
      <c r="H21" t="s" s="35">
        <v>40</v>
      </c>
      <c r="I21" s="36">
        <v>2100000000</v>
      </c>
      <c r="J21" s="2"/>
      <c r="K21" s="2"/>
      <c r="L21" s="2"/>
      <c r="M21" s="2"/>
      <c r="N21" s="2"/>
      <c r="O21" s="2"/>
      <c r="P21" s="2"/>
      <c r="Q21" s="2"/>
      <c r="R21" s="2"/>
      <c r="S21" s="2"/>
      <c r="T21" s="2"/>
      <c r="U21" s="2"/>
      <c r="V21" s="2"/>
      <c r="W21" s="2"/>
      <c r="X21" s="2"/>
      <c r="Y21" s="2"/>
      <c r="Z21" s="2"/>
    </row>
    <row r="22" spans="1:26" ht="15.75" customHeight="1">
      <c r="A22" s="2"/>
      <c r="B22" s="37"/>
      <c r="C22" s="37"/>
      <c r="D22" s="37"/>
      <c r="E22" s="37"/>
      <c r="F22" s="2"/>
      <c r="G22" s="2"/>
      <c r="H22" t="s" s="35">
        <v>42</v>
      </c>
      <c r="I22" s="36">
        <v>200000000</v>
      </c>
      <c r="J22" s="2"/>
      <c r="K22" s="2"/>
      <c r="L22" s="2"/>
      <c r="M22" s="2"/>
      <c r="N22" s="2"/>
      <c r="O22" s="2"/>
      <c r="P22" s="2"/>
      <c r="Q22" s="2"/>
      <c r="R22" s="2"/>
      <c r="S22" s="2"/>
      <c r="T22" s="2"/>
      <c r="U22" s="2"/>
      <c r="V22" s="2"/>
      <c r="W22" s="2"/>
      <c r="X22" s="2"/>
      <c r="Y22" s="2"/>
      <c r="Z22" s="2"/>
    </row>
    <row r="23" spans="1:26" ht="15.5">
      <c r="A23" s="2"/>
      <c r="B23" s="37"/>
      <c r="C23" s="37"/>
      <c r="D23" s="37"/>
      <c r="E23" s="37"/>
      <c r="F23" s="2"/>
      <c r="G23" s="2"/>
      <c r="H23" t="s" s="35">
        <v>86</v>
      </c>
      <c r="I23" s="36">
        <v>130400000000</v>
      </c>
      <c r="J23" s="2"/>
      <c r="K23" s="2"/>
      <c r="L23" s="2"/>
      <c r="M23" s="2"/>
      <c r="N23" s="2"/>
      <c r="O23" s="2"/>
      <c r="P23" s="2"/>
      <c r="Q23" s="2"/>
      <c r="R23" s="2"/>
      <c r="S23" s="2"/>
      <c r="T23" s="2"/>
      <c r="U23" s="2"/>
      <c r="V23" s="2"/>
      <c r="W23" s="2"/>
      <c r="X23" s="2"/>
      <c r="Y23" s="2"/>
      <c r="Z23" s="2"/>
    </row>
    <row r="24" spans="1:26" ht="15.5">
      <c r="A24" s="2"/>
      <c r="B24" s="37"/>
      <c r="C24" s="37"/>
      <c r="D24" s="37"/>
      <c r="E24" s="37"/>
      <c r="F24" s="2"/>
      <c r="G24" s="2"/>
      <c r="H24" s="2"/>
      <c r="I24" s="2"/>
      <c r="J24" s="2"/>
      <c r="K24" s="2"/>
      <c r="L24" s="2"/>
      <c r="M24" s="2"/>
      <c r="N24" s="2"/>
      <c r="O24" s="2"/>
      <c r="P24" s="2"/>
      <c r="Q24" s="2"/>
      <c r="R24" s="2"/>
      <c r="S24" s="2"/>
      <c r="T24" s="2"/>
      <c r="U24" s="2"/>
      <c r="V24" s="2"/>
      <c r="W24" s="2"/>
      <c r="X24" s="2"/>
      <c r="Y24" s="2"/>
      <c r="Z24" s="2"/>
    </row>
    <row r="25" spans="1:26" ht="15.5">
      <c r="A25" s="2"/>
      <c r="B25" s="37"/>
      <c r="C25" s="37"/>
      <c r="D25" s="37"/>
      <c r="E25" s="37"/>
      <c r="F25" s="2"/>
      <c r="G25" s="2"/>
      <c r="H25" s="2"/>
      <c r="I25" s="2"/>
      <c r="J25" s="2"/>
      <c r="K25" s="2"/>
      <c r="L25" s="2"/>
      <c r="M25" s="2"/>
      <c r="N25" s="2"/>
      <c r="O25" s="2"/>
      <c r="P25" s="2"/>
      <c r="Q25" s="2"/>
      <c r="R25" s="2"/>
      <c r="S25" s="2"/>
      <c r="T25" s="2"/>
      <c r="U25" s="2"/>
      <c r="V25" s="2"/>
      <c r="W25" s="2"/>
      <c r="X25" s="2"/>
      <c r="Y25" s="2"/>
      <c r="Z25" s="2"/>
    </row>
    <row r="26" spans="1:26" ht="15.5">
      <c r="A26" s="2"/>
      <c r="B26" s="37"/>
      <c r="C26" s="37"/>
      <c r="D26" s="37"/>
      <c r="E26" s="37"/>
      <c r="F26" s="2"/>
      <c r="G26" s="2"/>
      <c r="H26" s="2"/>
      <c r="I26" s="2"/>
      <c r="J26" s="2"/>
      <c r="K26" s="2"/>
      <c r="L26" s="2"/>
      <c r="M26" s="2"/>
      <c r="N26" s="2"/>
      <c r="O26" s="2"/>
      <c r="P26" s="2"/>
      <c r="Q26" s="2"/>
      <c r="R26" s="2"/>
      <c r="S26" s="2"/>
      <c r="T26" s="2"/>
      <c r="U26" s="2"/>
      <c r="V26" s="2"/>
      <c r="W26" s="2"/>
      <c r="X26" s="2"/>
      <c r="Y26" s="2"/>
      <c r="Z26" s="2"/>
    </row>
    <row r="27" spans="1:26" ht="15.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5">
      <c r="A28" s="35"/>
      <c r="B28" s="35"/>
      <c r="C28" s="35"/>
      <c r="D28" s="35"/>
      <c r="E28" s="35"/>
      <c r="F28" s="2"/>
      <c r="G28" s="2"/>
      <c r="H28" s="2"/>
      <c r="I28" s="2"/>
      <c r="J28" s="2"/>
      <c r="K28" s="2"/>
      <c r="L28" s="2"/>
      <c r="M28" s="2"/>
      <c r="N28" s="2"/>
      <c r="O28" s="2"/>
      <c r="P28" s="2"/>
      <c r="Q28" s="2"/>
      <c r="R28" s="2"/>
      <c r="S28" s="2"/>
      <c r="T28" s="2"/>
      <c r="U28" s="2"/>
      <c r="V28" s="2"/>
      <c r="W28" s="2"/>
      <c r="X28" s="2"/>
      <c r="Y28" s="2"/>
      <c r="Z28" s="2"/>
    </row>
    <row r="29" spans="1:26" ht="15.5">
      <c r="A29" s="2"/>
      <c r="B29" s="37"/>
      <c r="C29" s="37"/>
      <c r="D29" s="37"/>
      <c r="E29" s="37"/>
      <c r="F29" s="2"/>
      <c r="G29" s="2"/>
      <c r="H29" s="2"/>
      <c r="I29" s="2"/>
      <c r="J29" s="2"/>
      <c r="K29" s="2"/>
      <c r="L29" s="2"/>
      <c r="M29" s="2"/>
      <c r="N29" s="2"/>
      <c r="O29" s="2"/>
      <c r="P29" s="2"/>
      <c r="Q29" s="2"/>
      <c r="R29" s="2"/>
      <c r="S29" s="2"/>
      <c r="T29" s="2"/>
      <c r="U29" s="2"/>
      <c r="V29" s="2"/>
      <c r="W29" s="2"/>
      <c r="X29" s="2"/>
      <c r="Y29" s="2"/>
      <c r="Z29" s="2"/>
    </row>
    <row r="30" spans="1:26" ht="15.5">
      <c r="A30" s="2"/>
      <c r="B30" s="37"/>
      <c r="C30" s="37"/>
      <c r="D30" s="37"/>
      <c r="E30" s="37"/>
      <c r="F30" s="2"/>
      <c r="G30" s="2"/>
      <c r="H30" s="2"/>
      <c r="I30" s="2"/>
      <c r="J30" s="2"/>
      <c r="K30" s="2"/>
      <c r="L30" s="2"/>
      <c r="M30" s="2"/>
      <c r="N30" s="2"/>
      <c r="O30" s="2"/>
      <c r="P30" s="2"/>
      <c r="Q30" s="2"/>
      <c r="R30" s="2"/>
      <c r="S30" s="2"/>
      <c r="T30" s="2"/>
      <c r="U30" s="2"/>
      <c r="V30" s="2"/>
      <c r="W30" s="2"/>
      <c r="X30" s="2"/>
      <c r="Y30" s="2"/>
      <c r="Z30" s="2"/>
    </row>
    <row r="31" spans="1:26" ht="15.5">
      <c r="A31" s="2"/>
      <c r="B31" s="37"/>
      <c r="C31" s="37"/>
      <c r="D31" s="37"/>
      <c r="E31" s="37"/>
      <c r="F31" s="2"/>
      <c r="G31" s="2"/>
      <c r="H31" s="2"/>
      <c r="I31" s="2"/>
      <c r="J31" s="2"/>
      <c r="K31" s="2"/>
      <c r="L31" s="2"/>
      <c r="M31" s="2"/>
      <c r="N31" s="2"/>
      <c r="O31" s="2"/>
      <c r="P31" s="2"/>
      <c r="Q31" s="2"/>
      <c r="R31" s="2"/>
      <c r="S31" s="2"/>
      <c r="T31" s="2"/>
      <c r="U31" s="2"/>
      <c r="V31" s="2"/>
      <c r="W31" s="2"/>
      <c r="X31" s="2"/>
      <c r="Y31" s="2"/>
      <c r="Z31" s="2"/>
    </row>
    <row r="32" spans="1:26" ht="15.5">
      <c r="A32" s="2"/>
      <c r="B32" s="37"/>
      <c r="C32" s="37"/>
      <c r="D32" s="37"/>
      <c r="E32" s="37"/>
      <c r="F32" s="2"/>
      <c r="G32" s="2"/>
      <c r="H32" s="2"/>
      <c r="I32" s="2"/>
      <c r="J32" s="2"/>
      <c r="K32" s="2"/>
      <c r="L32" s="2"/>
      <c r="M32" s="2"/>
      <c r="N32" s="2"/>
      <c r="O32" s="2"/>
      <c r="P32" s="2"/>
      <c r="Q32" s="2"/>
      <c r="R32" s="2"/>
      <c r="S32" s="2"/>
      <c r="T32" s="2"/>
      <c r="U32" s="2"/>
      <c r="V32" s="2"/>
      <c r="W32" s="2"/>
      <c r="X32" s="2"/>
      <c r="Y32" s="2"/>
      <c r="Z32" s="2"/>
    </row>
    <row r="33" spans="1:26" ht="15.5">
      <c r="A33" s="2"/>
      <c r="B33" s="37"/>
      <c r="C33" s="37"/>
      <c r="D33" s="37"/>
      <c r="E33" s="37"/>
      <c r="F33" s="2"/>
      <c r="G33" s="2"/>
      <c r="H33" s="2"/>
      <c r="I33" s="2"/>
      <c r="J33" s="2"/>
      <c r="K33" s="2"/>
      <c r="L33" s="2"/>
      <c r="M33" s="2"/>
      <c r="N33" s="2"/>
      <c r="O33" s="2"/>
      <c r="P33" s="2"/>
      <c r="Q33" s="2"/>
      <c r="R33" s="2"/>
      <c r="S33" s="2"/>
      <c r="T33" s="2"/>
      <c r="U33" s="2"/>
      <c r="V33" s="2"/>
      <c r="W33" s="2"/>
      <c r="X33" s="2"/>
      <c r="Y33" s="2"/>
      <c r="Z33" s="2"/>
    </row>
    <row r="34" spans="1:26" ht="15.5">
      <c r="A34" s="2"/>
      <c r="B34" s="37"/>
      <c r="C34" s="37"/>
      <c r="D34" s="37"/>
      <c r="E34" s="37"/>
      <c r="F34" s="2"/>
      <c r="G34" s="2"/>
      <c r="H34" s="2"/>
      <c r="I34" s="2"/>
      <c r="J34" s="2"/>
      <c r="K34" s="2"/>
      <c r="L34" s="2"/>
      <c r="M34" s="2"/>
      <c r="N34" s="2"/>
      <c r="O34" s="2"/>
      <c r="P34" s="2"/>
      <c r="Q34" s="2"/>
      <c r="R34" s="2"/>
      <c r="S34" s="2"/>
      <c r="T34" s="2"/>
      <c r="U34" s="2"/>
      <c r="V34" s="2"/>
      <c r="W34" s="2"/>
      <c r="X34" s="2"/>
      <c r="Y34" s="2"/>
      <c r="Z34" s="2"/>
    </row>
    <row r="35" spans="1:26" ht="15.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5">
      <c r="A38" t="s" s="35">
        <v>85</v>
      </c>
      <c r="B38" t="s" s="35">
        <v>38</v>
      </c>
      <c r="C38" t="s" s="35">
        <v>40</v>
      </c>
      <c r="D38" t="s" s="35">
        <v>42</v>
      </c>
      <c r="E38" t="s" s="35">
        <v>86</v>
      </c>
      <c r="F38" s="2"/>
      <c r="G38" s="2"/>
      <c r="H38" s="2"/>
      <c r="I38" s="2"/>
      <c r="J38" s="2"/>
      <c r="K38" s="2"/>
      <c r="L38" s="2"/>
      <c r="M38" s="2"/>
      <c r="N38" s="2"/>
      <c r="O38" s="2"/>
      <c r="P38" s="2"/>
      <c r="Q38" s="2"/>
      <c r="R38" s="2"/>
      <c r="S38" s="2"/>
      <c r="T38" s="2"/>
      <c r="U38" s="2"/>
      <c r="V38" s="2"/>
      <c r="W38" s="2"/>
      <c r="X38" s="2"/>
      <c r="Y38" s="2"/>
      <c r="Z38" s="2"/>
    </row>
    <row r="39" spans="1:26" ht="15.5">
      <c r="A39" t="s" s="2">
        <v>329</v>
      </c>
      <c r="B39" s="38">
        <v>0.3154458273821669</v>
      </c>
      <c r="C39" s="38">
        <v>0</v>
      </c>
      <c r="D39" s="38">
        <v>0</v>
      </c>
      <c r="E39" s="38">
        <v>0.6845541726178331</v>
      </c>
      <c r="F39" s="2"/>
      <c r="G39" s="2"/>
      <c r="H39" s="2"/>
      <c r="I39" s="2"/>
      <c r="J39" s="2"/>
      <c r="K39" s="2"/>
      <c r="L39" s="2"/>
      <c r="M39" s="2"/>
      <c r="N39" s="2"/>
      <c r="O39" s="2"/>
      <c r="P39" s="2"/>
      <c r="Q39" s="2"/>
      <c r="R39" s="2"/>
      <c r="S39" s="2"/>
      <c r="T39" s="2"/>
      <c r="U39" s="2"/>
      <c r="V39" s="2"/>
      <c r="W39" s="2"/>
      <c r="X39" s="2"/>
      <c r="Y39" s="2"/>
      <c r="Z39" s="2"/>
    </row>
    <row r="40" spans="1:26" ht="15.5">
      <c r="A40" t="s" s="2">
        <v>330</v>
      </c>
      <c r="B40" s="38">
        <v>0.790850468426816</v>
      </c>
      <c r="C40" s="38">
        <v>0</v>
      </c>
      <c r="D40" s="38">
        <v>0</v>
      </c>
      <c r="E40" s="38">
        <v>0.20914953157318408</v>
      </c>
      <c r="F40" s="2"/>
      <c r="G40" s="2"/>
      <c r="H40" s="2"/>
      <c r="I40" s="2"/>
      <c r="J40" s="2"/>
      <c r="K40" s="2"/>
      <c r="L40" s="2"/>
      <c r="M40" s="2"/>
      <c r="N40" s="2"/>
      <c r="O40" s="2"/>
      <c r="P40" s="2"/>
      <c r="Q40" s="2"/>
      <c r="R40" s="2"/>
      <c r="S40" s="2"/>
      <c r="T40" s="2"/>
      <c r="U40" s="2"/>
      <c r="V40" s="2"/>
      <c r="W40" s="2"/>
      <c r="X40" s="2"/>
      <c r="Y40" s="2"/>
      <c r="Z40" s="2"/>
    </row>
    <row r="41" spans="1:26" ht="15.5">
      <c r="A41" t="s" s="2">
        <v>331</v>
      </c>
      <c r="B41" s="38">
        <v>0.011240632805995004</v>
      </c>
      <c r="C41" s="38">
        <v>0</v>
      </c>
      <c r="D41" s="38">
        <v>0</v>
      </c>
      <c r="E41" s="38">
        <v>0.988759367194005</v>
      </c>
      <c r="F41" s="2"/>
      <c r="G41" s="2"/>
      <c r="H41" s="2"/>
      <c r="I41" s="2"/>
      <c r="J41" s="2"/>
      <c r="K41" s="2"/>
      <c r="L41" s="2"/>
      <c r="M41" s="2"/>
      <c r="N41" s="2"/>
      <c r="O41" s="2"/>
      <c r="P41" s="2"/>
      <c r="Q41" s="2"/>
      <c r="R41" s="2"/>
      <c r="S41" s="2"/>
      <c r="T41" s="2"/>
      <c r="U41" s="2"/>
      <c r="V41" s="2"/>
      <c r="W41" s="2"/>
      <c r="X41" s="2"/>
      <c r="Y41" s="2"/>
      <c r="Z41" s="2"/>
    </row>
    <row r="42" spans="1:26" ht="15.5">
      <c r="A42" t="s" s="2">
        <v>332</v>
      </c>
      <c r="B42" s="38">
        <v>1</v>
      </c>
      <c r="C42" s="38">
        <v>0</v>
      </c>
      <c r="D42" s="38">
        <v>0</v>
      </c>
      <c r="E42" s="38">
        <v>0</v>
      </c>
      <c r="F42" s="2"/>
      <c r="G42" s="2"/>
      <c r="H42" s="2"/>
      <c r="I42" s="2"/>
      <c r="J42" s="2"/>
      <c r="K42" s="2"/>
      <c r="L42" s="2"/>
      <c r="M42" s="2"/>
      <c r="N42" s="2"/>
      <c r="O42" s="2"/>
      <c r="P42" s="2"/>
      <c r="Q42" s="2"/>
      <c r="R42" s="2"/>
      <c r="S42" s="2"/>
      <c r="T42" s="2"/>
      <c r="U42" s="2"/>
      <c r="V42" s="2"/>
      <c r="W42" s="2"/>
      <c r="X42" s="2"/>
      <c r="Y42" s="2"/>
      <c r="Z42" s="2"/>
    </row>
    <row r="43" spans="1:26" ht="15.5">
      <c r="A43" t="s" s="2">
        <v>333</v>
      </c>
      <c r="B43" s="38">
        <v>0</v>
      </c>
      <c r="C43" s="38">
        <v>0</v>
      </c>
      <c r="D43" s="38">
        <v>0</v>
      </c>
      <c r="E43" s="38">
        <v>1</v>
      </c>
      <c r="F43" s="2"/>
      <c r="G43" s="2"/>
      <c r="H43" s="2"/>
      <c r="I43" s="2"/>
      <c r="J43" s="2"/>
      <c r="K43" s="2"/>
      <c r="L43" s="2"/>
      <c r="M43" s="2"/>
      <c r="N43" s="2"/>
      <c r="O43" s="2"/>
      <c r="P43" s="2"/>
      <c r="Q43" s="2"/>
      <c r="R43" s="2"/>
      <c r="S43" s="2"/>
      <c r="T43" s="2"/>
      <c r="U43" s="2"/>
      <c r="V43" s="2"/>
      <c r="W43" s="2"/>
      <c r="X43" s="2"/>
      <c r="Y43" s="2"/>
      <c r="Z43" s="2"/>
    </row>
    <row r="44" spans="1:26" ht="15.5">
      <c r="A44" t="s" s="2">
        <v>334</v>
      </c>
      <c r="B44" s="38">
        <v>1</v>
      </c>
      <c r="C44" s="38">
        <v>0</v>
      </c>
      <c r="D44" s="38">
        <v>0</v>
      </c>
      <c r="E44" s="38">
        <v>0</v>
      </c>
      <c r="F44" s="2"/>
      <c r="G44" s="2"/>
      <c r="H44" s="2"/>
      <c r="I44" s="2"/>
      <c r="J44" s="2"/>
      <c r="K44" s="2"/>
      <c r="L44" s="2"/>
      <c r="M44" s="2"/>
      <c r="N44" s="2"/>
      <c r="O44" s="2"/>
      <c r="P44" s="2"/>
      <c r="Q44" s="2"/>
      <c r="R44" s="2"/>
      <c r="S44" s="2"/>
      <c r="T44" s="2"/>
      <c r="U44" s="2"/>
      <c r="V44" s="2"/>
      <c r="W44" s="2"/>
      <c r="X44" s="2"/>
      <c r="Y44" s="2"/>
      <c r="Z44" s="2"/>
    </row>
    <row r="45" spans="1:26" ht="15.5">
      <c r="A45" s="2"/>
      <c r="B45" s="38"/>
      <c r="C45" s="38"/>
      <c r="D45" s="38"/>
      <c r="E45" s="38"/>
      <c r="F45" s="2"/>
      <c r="G45" s="2"/>
      <c r="H45" s="2"/>
      <c r="I45" s="2"/>
      <c r="J45" s="2"/>
      <c r="K45" s="2"/>
      <c r="L45" s="2"/>
      <c r="M45" s="2"/>
      <c r="N45" s="2"/>
      <c r="O45" s="2"/>
      <c r="P45" s="2"/>
      <c r="Q45" s="2"/>
      <c r="R45" s="2"/>
      <c r="S45" s="2"/>
      <c r="T45" s="2"/>
      <c r="U45" s="2"/>
      <c r="V45" s="2"/>
      <c r="W45" s="2"/>
      <c r="X45" s="2"/>
      <c r="Y45" s="2"/>
      <c r="Z45" s="2"/>
    </row>
    <row r="46" spans="1:26" ht="15.5">
      <c r="A46" s="2"/>
      <c r="B46" s="38"/>
      <c r="C46" s="38"/>
      <c r="D46" s="38"/>
      <c r="E46" s="38"/>
      <c r="F46" s="2"/>
      <c r="G46" s="2"/>
      <c r="H46" s="2"/>
      <c r="I46" s="2"/>
      <c r="J46" s="2"/>
      <c r="K46" s="2"/>
      <c r="L46" s="2"/>
      <c r="M46" s="2"/>
      <c r="N46" s="2"/>
      <c r="O46" s="2"/>
      <c r="P46" s="2"/>
      <c r="Q46" s="2"/>
      <c r="R46" s="2"/>
      <c r="S46" s="2"/>
      <c r="T46" s="2"/>
      <c r="U46" s="2"/>
      <c r="V46" s="2"/>
      <c r="W46" s="2"/>
      <c r="X46" s="2"/>
      <c r="Y46" s="2"/>
      <c r="Z46" s="2"/>
    </row>
    <row r="47" spans="1:26" ht="15.5">
      <c r="A47" s="2"/>
      <c r="B47" s="38"/>
      <c r="C47" s="38"/>
      <c r="D47" s="38"/>
      <c r="E47" s="38"/>
      <c r="F47" s="2"/>
      <c r="G47" s="2"/>
      <c r="H47" s="2"/>
      <c r="I47" s="2"/>
      <c r="J47" s="2"/>
      <c r="K47" s="2"/>
      <c r="L47" s="2"/>
      <c r="M47" s="2"/>
      <c r="N47" s="2"/>
      <c r="O47" s="2"/>
      <c r="P47" s="2"/>
      <c r="Q47" s="2"/>
      <c r="R47" s="2"/>
      <c r="S47" s="2"/>
      <c r="T47" s="2"/>
      <c r="U47" s="2"/>
      <c r="V47" s="2"/>
      <c r="W47" s="2"/>
      <c r="X47" s="2"/>
      <c r="Y47" s="2"/>
      <c r="Z47" s="2"/>
    </row>
    <row r="48" spans="1:26" ht="15.5">
      <c r="A48" s="2"/>
      <c r="B48" s="38"/>
      <c r="C48" s="38"/>
      <c r="D48" s="38"/>
      <c r="E48" s="38"/>
      <c r="F48" s="2"/>
      <c r="G48" s="2"/>
      <c r="H48" s="2"/>
      <c r="I48" s="2"/>
      <c r="J48" s="2"/>
      <c r="K48" s="2"/>
      <c r="L48" s="2"/>
      <c r="M48" s="2"/>
      <c r="N48" s="2"/>
      <c r="O48" s="2"/>
      <c r="P48" s="2"/>
      <c r="Q48" s="2"/>
      <c r="R48" s="2"/>
      <c r="S48" s="2"/>
      <c r="T48" s="2"/>
      <c r="U48" s="2"/>
      <c r="V48" s="2"/>
      <c r="W48" s="2"/>
      <c r="X48" s="2"/>
      <c r="Y48" s="2"/>
      <c r="Z48" s="2"/>
    </row>
    <row r="49" spans="1:26" ht="15.5">
      <c r="A49" s="2"/>
      <c r="B49" s="38"/>
      <c r="C49" s="38"/>
      <c r="D49" s="38"/>
      <c r="E49" s="38"/>
      <c r="F49" s="2"/>
      <c r="G49" s="2"/>
      <c r="H49" s="2"/>
      <c r="I49" s="2"/>
      <c r="J49" s="2"/>
      <c r="K49" s="2"/>
      <c r="L49" s="2"/>
      <c r="M49" s="2"/>
      <c r="N49" s="2"/>
      <c r="O49" s="2"/>
      <c r="P49" s="2"/>
      <c r="Q49" s="2"/>
      <c r="R49" s="2"/>
      <c r="S49" s="2"/>
      <c r="T49" s="2"/>
      <c r="U49" s="2"/>
      <c r="V49" s="2"/>
      <c r="W49" s="2"/>
      <c r="X49" s="2"/>
      <c r="Y49" s="2"/>
      <c r="Z49" s="2"/>
    </row>
    <row r="50" spans="1:26" ht="15.5">
      <c r="A50" s="2"/>
      <c r="B50" s="38"/>
      <c r="C50" s="38"/>
      <c r="D50" s="38"/>
      <c r="E50" s="38"/>
      <c r="F50" s="2"/>
      <c r="G50" s="2"/>
      <c r="H50" s="2"/>
      <c r="I50" s="2"/>
      <c r="J50" s="2"/>
      <c r="K50" s="2"/>
      <c r="L50" s="2"/>
      <c r="M50" s="2"/>
      <c r="N50" s="2"/>
      <c r="O50" s="2"/>
      <c r="P50" s="2"/>
      <c r="Q50" s="2"/>
      <c r="R50" s="2"/>
      <c r="S50" s="2"/>
      <c r="T50" s="2"/>
      <c r="U50" s="2"/>
      <c r="V50" s="2"/>
      <c r="W50" s="2"/>
      <c r="X50" s="2"/>
      <c r="Y50" s="2"/>
      <c r="Z50" s="2"/>
    </row>
    <row r="51" spans="1:26" ht="15.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5.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sheetData>
  <mergeCells count="2">
    <mergeCell ref="A1:F1"/>
    <mergeCell ref="A4:F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sheetViews>
    <sheetView topLeftCell="A40" workbookViewId="0">
      <selection activeCell="D43" sqref="D43:D51"/>
    </sheetView>
  </sheetViews>
  <sheetFormatPr defaultColWidth="12.6328125" defaultRowHeight="15.75" customHeight="1"/>
  <cols>
    <col min="1" max="1" width="31.453125" customWidth="1"/>
    <col min="2" max="6" width="26" customWidth="1"/>
  </cols>
  <sheetData>
    <row r="1" spans="1:26" ht="15.75" customHeight="1">
      <c r="A1" t="s" s="72">
        <v>99</v>
      </c>
      <c r="B1" s="73"/>
      <c r="C1" s="73"/>
      <c r="D1" s="73"/>
      <c r="E1" s="73"/>
      <c r="F1" s="73"/>
      <c r="G1" s="4"/>
      <c r="H1" s="4"/>
      <c r="I1" s="4"/>
      <c r="J1" s="4"/>
      <c r="K1" s="4"/>
      <c r="L1" s="4"/>
      <c r="M1" s="4"/>
      <c r="N1" s="4"/>
      <c r="O1" s="4"/>
      <c r="P1" s="4"/>
      <c r="Q1" s="4"/>
      <c r="R1" s="4"/>
      <c r="S1" s="4"/>
      <c r="T1" s="4"/>
      <c r="U1" s="4"/>
      <c r="V1" s="4"/>
      <c r="W1" s="4"/>
      <c r="X1" s="4"/>
      <c r="Y1" s="4"/>
      <c r="Z1" s="4"/>
    </row>
    <row r="2" spans="1:26" ht="15.75" customHeight="1">
      <c r="A2" s="4"/>
      <c r="B2" s="4"/>
      <c r="C2" s="4"/>
      <c r="D2" s="4"/>
      <c r="E2" s="4"/>
      <c r="F2" s="4"/>
      <c r="G2" s="4"/>
      <c r="H2" s="4"/>
      <c r="I2" s="4"/>
      <c r="J2" s="4"/>
      <c r="K2" s="4"/>
      <c r="L2" s="4"/>
      <c r="M2" s="4"/>
      <c r="N2" s="4"/>
      <c r="O2" s="4"/>
      <c r="P2" s="4"/>
      <c r="Q2" s="4"/>
      <c r="R2" s="4"/>
      <c r="S2" s="4"/>
      <c r="T2" s="4"/>
      <c r="U2" s="4"/>
      <c r="V2" s="4"/>
      <c r="W2" s="4"/>
      <c r="X2" s="4"/>
      <c r="Y2" s="4"/>
      <c r="Z2" s="4"/>
    </row>
    <row r="3" spans="1:26" ht="15.75" customHeight="1">
      <c r="A3" s="4"/>
      <c r="B3" s="4"/>
      <c r="C3" s="4"/>
      <c r="D3" s="4"/>
      <c r="E3" s="4"/>
      <c r="F3" s="4"/>
      <c r="G3" s="4"/>
      <c r="H3" s="4"/>
      <c r="I3" s="4"/>
      <c r="J3" s="4"/>
      <c r="K3" s="4"/>
      <c r="L3" s="4"/>
      <c r="M3" s="4"/>
      <c r="N3" s="4"/>
      <c r="O3" s="4"/>
      <c r="P3" s="4"/>
      <c r="Q3" s="4"/>
      <c r="R3" s="4"/>
      <c r="S3" s="4"/>
      <c r="T3" s="4"/>
      <c r="U3" s="4"/>
      <c r="V3" s="4"/>
      <c r="W3" s="4"/>
      <c r="X3" s="4"/>
      <c r="Y3" s="4"/>
      <c r="Z3" s="4"/>
    </row>
    <row r="4" spans="1:26" ht="15.75" customHeight="1">
      <c r="A4" t="s" s="76">
        <v>100</v>
      </c>
      <c r="B4" s="73"/>
      <c r="C4" s="73"/>
      <c r="D4" s="73"/>
      <c r="E4" s="73"/>
      <c r="F4" s="73"/>
      <c r="G4" s="4"/>
      <c r="H4" s="4"/>
      <c r="I4" s="4"/>
      <c r="J4" s="4"/>
      <c r="K4" s="4"/>
      <c r="L4" s="4"/>
      <c r="M4" s="4"/>
      <c r="N4" s="4"/>
      <c r="O4" s="4"/>
      <c r="P4" s="4"/>
      <c r="Q4" s="4"/>
      <c r="R4" s="4"/>
      <c r="S4" s="4"/>
      <c r="T4" s="4"/>
      <c r="U4" s="4"/>
      <c r="V4" s="4"/>
      <c r="W4" s="4"/>
      <c r="X4" s="4"/>
      <c r="Y4" s="4"/>
      <c r="Z4" s="4"/>
    </row>
    <row r="5" spans="1:26" ht="15.75" customHeight="1">
      <c r="A5" t="s" s="35">
        <v>101</v>
      </c>
      <c r="B5" t="s" s="39">
        <v>38</v>
      </c>
      <c r="C5" t="s" s="39">
        <v>40</v>
      </c>
      <c r="D5" t="s" s="39">
        <v>42</v>
      </c>
      <c r="E5" t="s" s="39">
        <v>86</v>
      </c>
      <c r="F5" t="s" s="39">
        <v>102</v>
      </c>
      <c r="G5" s="4"/>
      <c r="H5" s="4"/>
      <c r="I5" s="4"/>
      <c r="J5" s="4"/>
      <c r="K5" s="4"/>
      <c r="L5" s="4"/>
      <c r="M5" s="4"/>
      <c r="N5" s="4"/>
      <c r="O5" s="4"/>
      <c r="P5" s="4"/>
      <c r="Q5" s="4"/>
      <c r="R5" s="4"/>
      <c r="S5" s="4"/>
      <c r="T5" s="4"/>
      <c r="U5" s="4"/>
      <c r="V5" s="4"/>
      <c r="W5" s="4"/>
      <c r="X5" s="4"/>
      <c r="Y5" s="4"/>
      <c r="Z5" s="4"/>
    </row>
    <row r="6" spans="1:26" ht="15.75" customHeight="1">
      <c r="A6" t="s" s="2">
        <v>335</v>
      </c>
      <c r="B6" s="251">
        <v>6200000</v>
      </c>
      <c r="C6" s="260">
        <v>0</v>
      </c>
      <c r="D6" s="269">
        <v>0</v>
      </c>
      <c r="E6" s="278">
        <v>17600000</v>
      </c>
      <c r="F6" s="287">
        <v>23800000</v>
      </c>
      <c r="G6" s="4"/>
      <c r="H6" s="4"/>
      <c r="I6" s="4"/>
      <c r="J6" s="4"/>
      <c r="K6" s="4"/>
      <c r="L6" s="4"/>
      <c r="M6" s="4"/>
      <c r="N6" s="4"/>
      <c r="O6" s="4"/>
      <c r="P6" s="4"/>
      <c r="Q6" s="4"/>
      <c r="R6" s="4"/>
      <c r="S6" s="4"/>
      <c r="T6" s="4"/>
      <c r="U6" s="4"/>
      <c r="V6" s="4"/>
      <c r="W6" s="4"/>
      <c r="X6" s="4"/>
      <c r="Y6" s="4"/>
      <c r="Z6" s="4"/>
    </row>
    <row r="7" spans="1:26" ht="15.75" customHeight="1">
      <c r="A7" t="s" s="2">
        <v>336</v>
      </c>
      <c r="B7" s="252">
        <v>544100000</v>
      </c>
      <c r="C7" s="261">
        <v>0</v>
      </c>
      <c r="D7" s="270">
        <v>0</v>
      </c>
      <c r="E7" s="279">
        <v>1900000000</v>
      </c>
      <c r="F7" s="288">
        <v>2444100000</v>
      </c>
      <c r="G7" s="4"/>
      <c r="H7" s="4"/>
      <c r="I7" s="4"/>
      <c r="J7" s="4"/>
      <c r="K7" s="4"/>
      <c r="L7" s="4"/>
      <c r="M7" s="4"/>
      <c r="N7" s="4"/>
      <c r="O7" s="4"/>
      <c r="P7" s="4"/>
      <c r="Q7" s="4"/>
      <c r="R7" s="4"/>
      <c r="S7" s="4"/>
      <c r="T7" s="4"/>
      <c r="U7" s="4"/>
      <c r="V7" s="4"/>
      <c r="W7" s="4"/>
      <c r="X7" s="4"/>
      <c r="Y7" s="4"/>
      <c r="Z7" s="4"/>
    </row>
    <row r="8" spans="1:26" ht="15.75" customHeight="1">
      <c r="A8" t="s" s="2">
        <v>337</v>
      </c>
      <c r="B8" s="253">
        <v>2600000000</v>
      </c>
      <c r="C8" s="262">
        <v>0</v>
      </c>
      <c r="D8" s="271">
        <v>0</v>
      </c>
      <c r="E8" s="280">
        <v>2800000000</v>
      </c>
      <c r="F8" s="289">
        <v>5400000000</v>
      </c>
      <c r="G8" s="4"/>
      <c r="H8" s="4"/>
      <c r="I8" s="4"/>
      <c r="J8" s="4"/>
      <c r="K8" s="4"/>
      <c r="L8" s="4"/>
      <c r="M8" s="4"/>
      <c r="N8" s="4"/>
      <c r="O8" s="4"/>
      <c r="P8" s="4"/>
      <c r="Q8" s="4"/>
      <c r="R8" s="4"/>
      <c r="S8" s="4"/>
      <c r="T8" s="4"/>
      <c r="U8" s="4"/>
      <c r="V8" s="4"/>
      <c r="W8" s="4"/>
      <c r="X8" s="4"/>
      <c r="Y8" s="4"/>
      <c r="Z8" s="4"/>
    </row>
    <row r="9" spans="1:26" ht="15.75" customHeight="1">
      <c r="A9" t="s" s="2">
        <v>338</v>
      </c>
      <c r="B9" s="254">
        <v>11700000000</v>
      </c>
      <c r="C9" s="263">
        <v>0</v>
      </c>
      <c r="D9" s="272">
        <v>0</v>
      </c>
      <c r="E9" s="281">
        <v>92000000000</v>
      </c>
      <c r="F9" s="290">
        <v>103700000000</v>
      </c>
      <c r="G9" s="4"/>
      <c r="H9" s="4"/>
      <c r="I9" s="4"/>
      <c r="J9" s="4"/>
      <c r="K9" s="4"/>
      <c r="L9" s="4"/>
      <c r="M9" s="4"/>
      <c r="N9" s="4"/>
      <c r="O9" s="4"/>
      <c r="P9" s="4"/>
      <c r="Q9" s="4"/>
      <c r="R9" s="4"/>
      <c r="S9" s="4"/>
      <c r="T9" s="4"/>
      <c r="U9" s="4"/>
      <c r="V9" s="4"/>
      <c r="W9" s="4"/>
      <c r="X9" s="4"/>
      <c r="Y9" s="4"/>
      <c r="Z9" s="4"/>
    </row>
    <row r="10" spans="1:26" ht="15.75" customHeight="1">
      <c r="A10" t="s" s="2">
        <v>339</v>
      </c>
      <c r="B10" s="255">
        <v>76900000000</v>
      </c>
      <c r="C10" s="264">
        <v>0</v>
      </c>
      <c r="D10" s="273">
        <v>0</v>
      </c>
      <c r="E10" s="282">
        <v>102700000000</v>
      </c>
      <c r="F10" s="291">
        <v>179600000000</v>
      </c>
      <c r="G10" s="4"/>
      <c r="H10" s="4"/>
      <c r="I10" s="4"/>
      <c r="J10" s="4"/>
      <c r="K10" s="4"/>
      <c r="L10" s="4"/>
      <c r="M10" s="4"/>
      <c r="N10" s="4"/>
      <c r="O10" s="4"/>
      <c r="P10" s="4"/>
      <c r="Q10" s="4"/>
      <c r="R10" s="4"/>
      <c r="S10" s="4"/>
      <c r="T10" s="4"/>
      <c r="U10" s="4"/>
      <c r="V10" s="4"/>
      <c r="W10" s="4"/>
      <c r="X10" s="4"/>
      <c r="Y10" s="4"/>
      <c r="Z10" s="4"/>
    </row>
    <row r="11" spans="1:26" ht="15.75" customHeight="1">
      <c r="A11" t="s" s="2">
        <v>340</v>
      </c>
      <c r="B11" s="256">
        <v>49700000000</v>
      </c>
      <c r="C11" s="265">
        <v>0</v>
      </c>
      <c r="D11" s="274">
        <v>0</v>
      </c>
      <c r="E11" s="283">
        <v>78200000000</v>
      </c>
      <c r="F11" s="292">
        <v>127900000000</v>
      </c>
      <c r="G11" s="4"/>
      <c r="H11" s="4"/>
      <c r="I11" s="4"/>
      <c r="J11" s="4"/>
      <c r="K11" s="4"/>
      <c r="L11" s="4"/>
      <c r="M11" s="4"/>
      <c r="N11" s="4"/>
      <c r="O11" s="4"/>
      <c r="P11" s="4"/>
      <c r="Q11" s="4"/>
      <c r="R11" s="4"/>
      <c r="S11" s="4"/>
      <c r="T11" s="4"/>
      <c r="U11" s="4"/>
      <c r="V11" s="4"/>
      <c r="W11" s="4"/>
      <c r="X11" s="4"/>
      <c r="Y11" s="4"/>
      <c r="Z11" s="4"/>
    </row>
    <row r="12" spans="1:26" ht="15.75" customHeight="1">
      <c r="A12" t="s" s="2">
        <v>341</v>
      </c>
      <c r="B12" s="257">
        <v>14700000000</v>
      </c>
      <c r="C12" s="266">
        <v>0</v>
      </c>
      <c r="D12" s="275">
        <v>0</v>
      </c>
      <c r="E12" s="284">
        <v>51800000000</v>
      </c>
      <c r="F12" s="293">
        <v>66500000000</v>
      </c>
      <c r="G12" s="4"/>
      <c r="H12" s="4"/>
      <c r="I12" s="4"/>
      <c r="J12" s="4"/>
      <c r="K12" s="4"/>
      <c r="L12" s="4"/>
      <c r="M12" s="4"/>
      <c r="N12" s="4"/>
      <c r="O12" s="4"/>
      <c r="P12" s="4"/>
      <c r="Q12" s="4"/>
      <c r="R12" s="4"/>
      <c r="S12" s="4"/>
      <c r="T12" s="4"/>
      <c r="U12" s="4"/>
      <c r="V12" s="4"/>
      <c r="W12" s="4"/>
      <c r="X12" s="4"/>
      <c r="Y12" s="4"/>
      <c r="Z12" s="4"/>
    </row>
    <row r="13" spans="1:26" ht="15.75" customHeight="1">
      <c r="A13" t="s" s="2">
        <v>342</v>
      </c>
      <c r="B13" s="258">
        <v>2700000000</v>
      </c>
      <c r="C13" s="267">
        <v>0</v>
      </c>
      <c r="D13" s="276">
        <v>0</v>
      </c>
      <c r="E13" s="285">
        <v>8600000000</v>
      </c>
      <c r="F13" s="294">
        <v>11300000000</v>
      </c>
      <c r="G13" s="4"/>
      <c r="H13" s="4"/>
      <c r="I13" s="4"/>
      <c r="J13" s="4"/>
      <c r="K13" s="4"/>
      <c r="L13" s="4"/>
      <c r="M13" s="4"/>
      <c r="N13" s="4"/>
      <c r="O13" s="4"/>
      <c r="P13" s="4"/>
      <c r="Q13" s="4"/>
      <c r="R13" s="4"/>
      <c r="S13" s="4"/>
      <c r="T13" s="4"/>
      <c r="U13" s="4"/>
      <c r="V13" s="4"/>
      <c r="W13" s="4"/>
      <c r="X13" s="4"/>
      <c r="Y13" s="4"/>
      <c r="Z13" s="4"/>
    </row>
    <row r="14" spans="1:26" ht="15.75" customHeight="1">
      <c r="A14" t="s" s="2">
        <v>343</v>
      </c>
      <c r="B14" s="259">
        <v>561400000</v>
      </c>
      <c r="C14" s="268">
        <v>0</v>
      </c>
      <c r="D14" s="277">
        <v>0</v>
      </c>
      <c r="E14" s="286">
        <v>210200000</v>
      </c>
      <c r="F14" s="295">
        <v>771600000</v>
      </c>
      <c r="G14" s="4"/>
      <c r="H14" s="4"/>
      <c r="I14" s="4"/>
      <c r="J14" s="4"/>
      <c r="K14" s="4"/>
      <c r="L14" s="4"/>
      <c r="M14" s="4"/>
      <c r="N14" s="4"/>
      <c r="O14" s="4"/>
      <c r="P14" s="4"/>
      <c r="Q14" s="4"/>
      <c r="R14" s="4"/>
      <c r="S14" s="4"/>
      <c r="T14" s="4"/>
      <c r="U14" s="4"/>
      <c r="V14" s="4"/>
      <c r="W14" s="4"/>
      <c r="X14" s="4"/>
      <c r="Y14" s="4"/>
      <c r="Z14" s="4"/>
    </row>
    <row r="15" spans="1:26"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t="s" s="35">
        <v>101</v>
      </c>
      <c r="B17" t="s" s="39">
        <v>38</v>
      </c>
      <c r="C17" t="s" s="39">
        <v>40</v>
      </c>
      <c r="D17" t="s" s="39">
        <v>42</v>
      </c>
      <c r="E17" t="s" s="39">
        <v>86</v>
      </c>
      <c r="F17" s="41"/>
      <c r="G17" s="4"/>
      <c r="H17" s="4"/>
      <c r="I17" s="4"/>
      <c r="J17" s="4"/>
      <c r="K17" s="4"/>
      <c r="L17" s="4"/>
      <c r="M17" s="4"/>
      <c r="N17" s="4"/>
      <c r="O17" s="4"/>
      <c r="P17" s="4"/>
      <c r="Q17" s="4"/>
      <c r="R17" s="4"/>
      <c r="S17" s="4"/>
      <c r="T17" s="4"/>
      <c r="U17" s="4"/>
      <c r="V17" s="4"/>
      <c r="W17" s="4"/>
      <c r="X17" s="4"/>
      <c r="Y17" s="4"/>
      <c r="Z17" s="4"/>
    </row>
    <row r="18" spans="1:26" ht="15.75" customHeight="1">
      <c r="A18" t="s" s="2">
        <v>335</v>
      </c>
      <c r="B18" s="38">
        <v>0.2605042016806723</v>
      </c>
      <c r="C18" s="38">
        <v>0</v>
      </c>
      <c r="D18" s="38">
        <v>0</v>
      </c>
      <c r="E18" s="38">
        <v>0.7394957983193278</v>
      </c>
      <c r="F18" s="42"/>
      <c r="G18" s="4"/>
      <c r="H18" s="4"/>
      <c r="I18" s="4"/>
      <c r="J18" s="4"/>
      <c r="K18" s="4"/>
      <c r="L18" s="4"/>
      <c r="M18" s="4"/>
      <c r="N18" s="4"/>
      <c r="O18" s="4"/>
      <c r="P18" s="4"/>
      <c r="Q18" s="4"/>
      <c r="R18" s="4"/>
      <c r="S18" s="4"/>
      <c r="T18" s="4"/>
      <c r="U18" s="4"/>
      <c r="V18" s="4"/>
      <c r="W18" s="4"/>
      <c r="X18" s="4"/>
      <c r="Y18" s="4"/>
      <c r="Z18" s="4"/>
    </row>
    <row r="19" spans="1:26" ht="15.75" customHeight="1">
      <c r="A19" t="s" s="2">
        <v>336</v>
      </c>
      <c r="B19" s="38">
        <v>0.22261773249867026</v>
      </c>
      <c r="C19" s="38">
        <v>0</v>
      </c>
      <c r="D19" s="38">
        <v>0</v>
      </c>
      <c r="E19" s="38">
        <v>0.7773822675013298</v>
      </c>
      <c r="F19" s="42"/>
      <c r="G19" s="4"/>
      <c r="H19" s="4"/>
      <c r="I19" s="4"/>
      <c r="J19" s="4"/>
      <c r="K19" s="4"/>
      <c r="L19" s="4"/>
      <c r="M19" s="4"/>
      <c r="N19" s="4"/>
      <c r="O19" s="4"/>
      <c r="P19" s="4"/>
      <c r="Q19" s="4"/>
      <c r="R19" s="4"/>
      <c r="S19" s="4"/>
      <c r="T19" s="4"/>
      <c r="U19" s="4"/>
      <c r="V19" s="4"/>
      <c r="W19" s="4"/>
      <c r="X19" s="4"/>
      <c r="Y19" s="4"/>
      <c r="Z19" s="4"/>
    </row>
    <row r="20" spans="1:26" ht="15.75" customHeight="1">
      <c r="A20" t="s" s="2">
        <v>337</v>
      </c>
      <c r="B20" s="38">
        <v>0.48148148148148145</v>
      </c>
      <c r="C20" s="38">
        <v>0</v>
      </c>
      <c r="D20" s="38">
        <v>0</v>
      </c>
      <c r="E20" s="38">
        <v>0.5185185185185185</v>
      </c>
      <c r="F20" s="42"/>
      <c r="G20" s="4"/>
      <c r="H20" s="4"/>
      <c r="I20" s="4"/>
      <c r="J20" s="4"/>
      <c r="K20" s="4"/>
      <c r="L20" s="4"/>
      <c r="M20" s="4"/>
      <c r="N20" s="4"/>
      <c r="O20" s="4"/>
      <c r="P20" s="4"/>
      <c r="Q20" s="4"/>
      <c r="R20" s="4"/>
      <c r="S20" s="4"/>
      <c r="T20" s="4"/>
      <c r="U20" s="4"/>
      <c r="V20" s="4"/>
      <c r="W20" s="4"/>
      <c r="X20" s="4"/>
      <c r="Y20" s="4"/>
      <c r="Z20" s="4"/>
    </row>
    <row r="21" spans="1:26" ht="15.75" customHeight="1">
      <c r="A21" t="s" s="2">
        <v>338</v>
      </c>
      <c r="B21" s="38">
        <v>0.1128254580520733</v>
      </c>
      <c r="C21" s="38">
        <v>0</v>
      </c>
      <c r="D21" s="38">
        <v>0</v>
      </c>
      <c r="E21" s="38">
        <v>0.8871745419479267</v>
      </c>
      <c r="F21" s="42"/>
      <c r="G21" s="4"/>
      <c r="H21" s="4"/>
      <c r="I21" s="4"/>
      <c r="J21" s="4"/>
      <c r="K21" s="4"/>
      <c r="L21" s="4"/>
      <c r="M21" s="4"/>
      <c r="N21" s="4"/>
      <c r="O21" s="4"/>
      <c r="P21" s="4"/>
      <c r="Q21" s="4"/>
      <c r="R21" s="4"/>
      <c r="S21" s="4"/>
      <c r="T21" s="4"/>
      <c r="U21" s="4"/>
      <c r="V21" s="4"/>
      <c r="W21" s="4"/>
      <c r="X21" s="4"/>
      <c r="Y21" s="4"/>
      <c r="Z21" s="4"/>
    </row>
    <row r="22" spans="1:26" ht="15.75" customHeight="1">
      <c r="A22" t="s" s="2">
        <v>339</v>
      </c>
      <c r="B22" s="38">
        <v>0.428173719376392</v>
      </c>
      <c r="C22" s="38">
        <v>0</v>
      </c>
      <c r="D22" s="38">
        <v>0</v>
      </c>
      <c r="E22" s="38">
        <v>0.571826280623608</v>
      </c>
      <c r="F22" s="42"/>
      <c r="G22" s="4"/>
      <c r="H22" s="4"/>
      <c r="I22" s="4"/>
      <c r="J22" s="4"/>
      <c r="K22" s="4"/>
      <c r="L22" s="4"/>
      <c r="M22" s="4"/>
      <c r="N22" s="4"/>
      <c r="O22" s="4"/>
      <c r="P22" s="4"/>
      <c r="Q22" s="4"/>
      <c r="R22" s="4"/>
      <c r="S22" s="4"/>
      <c r="T22" s="4"/>
      <c r="U22" s="4"/>
      <c r="V22" s="4"/>
      <c r="W22" s="4"/>
      <c r="X22" s="4"/>
      <c r="Y22" s="4"/>
      <c r="Z22" s="4"/>
    </row>
    <row r="23" spans="1:26" ht="15.5">
      <c r="A23" t="s" s="2">
        <v>340</v>
      </c>
      <c r="B23" s="38">
        <v>0.3885848318999218</v>
      </c>
      <c r="C23" s="38">
        <v>0</v>
      </c>
      <c r="D23" s="38">
        <v>0</v>
      </c>
      <c r="E23" s="38">
        <v>0.6114151681000782</v>
      </c>
      <c r="F23" s="42"/>
      <c r="G23" s="4"/>
      <c r="H23" s="4"/>
      <c r="I23" s="4"/>
      <c r="J23" s="4"/>
      <c r="K23" s="4"/>
      <c r="L23" s="4"/>
      <c r="M23" s="4"/>
      <c r="N23" s="4"/>
      <c r="O23" s="4"/>
      <c r="P23" s="4"/>
      <c r="Q23" s="4"/>
      <c r="R23" s="4"/>
      <c r="S23" s="4"/>
      <c r="T23" s="4"/>
      <c r="U23" s="4"/>
      <c r="V23" s="4"/>
      <c r="W23" s="4"/>
      <c r="X23" s="4"/>
      <c r="Y23" s="4"/>
      <c r="Z23" s="4"/>
    </row>
    <row r="24" spans="1:26" ht="15.5">
      <c r="A24" t="s" s="2">
        <v>341</v>
      </c>
      <c r="B24" s="38">
        <v>0.22105263157894736</v>
      </c>
      <c r="C24" s="38">
        <v>0</v>
      </c>
      <c r="D24" s="38">
        <v>0</v>
      </c>
      <c r="E24" s="38">
        <v>0.7789473684210526</v>
      </c>
      <c r="F24" s="42"/>
      <c r="G24" s="4"/>
      <c r="H24" s="4"/>
      <c r="I24" s="4"/>
      <c r="J24" s="4"/>
      <c r="K24" s="4"/>
      <c r="L24" s="4"/>
      <c r="M24" s="4"/>
      <c r="N24" s="4"/>
      <c r="O24" s="4"/>
      <c r="P24" s="4"/>
      <c r="Q24" s="4"/>
      <c r="R24" s="4"/>
      <c r="S24" s="4"/>
      <c r="T24" s="4"/>
      <c r="U24" s="4"/>
      <c r="V24" s="4"/>
      <c r="W24" s="4"/>
      <c r="X24" s="4"/>
      <c r="Y24" s="4"/>
      <c r="Z24" s="4"/>
    </row>
    <row r="25" spans="1:26" ht="15.5">
      <c r="A25" t="s" s="2">
        <v>342</v>
      </c>
      <c r="B25" s="38">
        <v>0.23893805309734514</v>
      </c>
      <c r="C25" s="38">
        <v>0</v>
      </c>
      <c r="D25" s="38">
        <v>0</v>
      </c>
      <c r="E25" s="38">
        <v>0.7610619469026548</v>
      </c>
      <c r="F25" s="42"/>
      <c r="G25" s="4"/>
      <c r="H25" s="4"/>
      <c r="I25" s="4"/>
      <c r="J25" s="4"/>
      <c r="K25" s="4"/>
      <c r="L25" s="4"/>
      <c r="M25" s="4"/>
      <c r="N25" s="4"/>
      <c r="O25" s="4"/>
      <c r="P25" s="4"/>
      <c r="Q25" s="4"/>
      <c r="R25" s="4"/>
      <c r="S25" s="4"/>
      <c r="T25" s="4"/>
      <c r="U25" s="4"/>
      <c r="V25" s="4"/>
      <c r="W25" s="4"/>
      <c r="X25" s="4"/>
      <c r="Y25" s="4"/>
      <c r="Z25" s="4"/>
    </row>
    <row r="26" spans="1:26" ht="15.5">
      <c r="A26" t="s" s="2">
        <v>343</v>
      </c>
      <c r="B26" s="38">
        <v>0.7275790565059617</v>
      </c>
      <c r="C26" s="38">
        <v>0</v>
      </c>
      <c r="D26" s="38">
        <v>0</v>
      </c>
      <c r="E26" s="38">
        <v>0.27242094349403834</v>
      </c>
      <c r="F26" s="42"/>
      <c r="G26" s="4"/>
      <c r="H26" s="4"/>
      <c r="I26" s="4"/>
      <c r="J26" s="4"/>
      <c r="K26" s="4"/>
      <c r="L26" s="4"/>
      <c r="M26" s="4"/>
      <c r="N26" s="4"/>
      <c r="O26" s="4"/>
      <c r="P26" s="4"/>
      <c r="Q26" s="4"/>
      <c r="R26" s="4"/>
      <c r="S26" s="4"/>
      <c r="T26" s="4"/>
      <c r="U26" s="4"/>
      <c r="V26" s="4"/>
      <c r="W26" s="4"/>
      <c r="X26" s="4"/>
      <c r="Y26" s="4"/>
      <c r="Z26" s="4"/>
    </row>
    <row r="27" spans="1:26" ht="15.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6" thickBo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6" thickBot="1">
      <c r="A43" s="79"/>
      <c r="B43" s="80"/>
      <c r="C43" s="80"/>
      <c r="D43" s="80"/>
      <c r="E43" s="80"/>
      <c r="F43" s="86"/>
      <c r="G43" s="87"/>
      <c r="H43" s="4"/>
      <c r="I43" s="4"/>
      <c r="J43" s="4"/>
      <c r="K43" s="4"/>
      <c r="L43" s="4"/>
      <c r="M43" s="4"/>
      <c r="N43" s="4"/>
      <c r="O43" s="4"/>
      <c r="P43" s="4"/>
      <c r="Q43" s="4"/>
      <c r="R43" s="4"/>
      <c r="S43" s="4"/>
      <c r="T43" s="4"/>
      <c r="U43" s="4"/>
      <c r="V43" s="4"/>
      <c r="W43" s="4"/>
      <c r="X43" s="4"/>
      <c r="Y43" s="4"/>
      <c r="Z43" s="4"/>
    </row>
    <row r="44" spans="1:26" ht="16" thickBot="1">
      <c r="A44" s="81"/>
      <c r="B44" s="82"/>
      <c r="C44" s="82"/>
      <c r="D44" s="82"/>
      <c r="E44" s="82"/>
      <c r="F44" s="88"/>
      <c r="G44" s="89"/>
      <c r="H44" s="4"/>
      <c r="I44" s="4"/>
      <c r="J44" s="4"/>
      <c r="K44" s="4"/>
      <c r="L44" s="4"/>
      <c r="M44" s="4"/>
      <c r="N44" s="4"/>
      <c r="O44" s="4"/>
      <c r="P44" s="4"/>
      <c r="Q44" s="4"/>
      <c r="R44" s="4"/>
      <c r="S44" s="4"/>
      <c r="T44" s="4"/>
      <c r="U44" s="4"/>
      <c r="V44" s="4"/>
      <c r="W44" s="4"/>
      <c r="X44" s="4"/>
      <c r="Y44" s="4"/>
      <c r="Z44" s="4"/>
    </row>
    <row r="45" spans="1:26" ht="16" thickBot="1">
      <c r="A45" s="83"/>
      <c r="B45" s="84"/>
      <c r="C45" s="84"/>
      <c r="D45" s="84"/>
      <c r="E45" s="84"/>
      <c r="F45" s="90"/>
      <c r="G45" s="91"/>
      <c r="H45" s="4"/>
      <c r="I45" s="4"/>
      <c r="J45" s="4"/>
      <c r="K45" s="4"/>
      <c r="L45" s="4"/>
      <c r="M45" s="4"/>
      <c r="N45" s="4"/>
      <c r="O45" s="4"/>
      <c r="P45" s="4"/>
      <c r="Q45" s="4"/>
      <c r="R45" s="4"/>
      <c r="S45" s="4"/>
      <c r="T45" s="4"/>
      <c r="U45" s="4"/>
      <c r="V45" s="4"/>
      <c r="W45" s="4"/>
      <c r="X45" s="4"/>
      <c r="Y45" s="4"/>
      <c r="Z45" s="4"/>
    </row>
    <row r="46" spans="1:26" ht="16" thickBot="1">
      <c r="A46" s="81"/>
      <c r="B46" s="82"/>
      <c r="C46" s="82"/>
      <c r="D46" s="82"/>
      <c r="E46" s="82"/>
      <c r="F46" s="88"/>
      <c r="G46" s="89"/>
      <c r="H46" s="4"/>
      <c r="I46" s="4"/>
      <c r="J46" s="4"/>
      <c r="K46" s="4"/>
      <c r="L46" s="4"/>
      <c r="M46" s="4"/>
      <c r="N46" s="4"/>
      <c r="O46" s="4"/>
      <c r="P46" s="4"/>
      <c r="Q46" s="4"/>
      <c r="R46" s="4"/>
      <c r="S46" s="4"/>
      <c r="T46" s="4"/>
      <c r="U46" s="4"/>
      <c r="V46" s="4"/>
      <c r="W46" s="4"/>
      <c r="X46" s="4"/>
      <c r="Y46" s="4"/>
      <c r="Z46" s="4"/>
    </row>
    <row r="47" spans="1:26" ht="16" thickBot="1">
      <c r="A47" s="83"/>
      <c r="B47" s="84"/>
      <c r="C47" s="84"/>
      <c r="D47" s="84"/>
      <c r="E47" s="84"/>
      <c r="F47" s="90"/>
      <c r="G47" s="91"/>
      <c r="H47" s="4"/>
      <c r="I47" s="4"/>
      <c r="J47" s="4"/>
      <c r="K47" s="4"/>
      <c r="L47" s="4"/>
      <c r="M47" s="4"/>
      <c r="N47" s="4"/>
      <c r="O47" s="4"/>
      <c r="P47" s="4"/>
      <c r="Q47" s="4"/>
      <c r="R47" s="4"/>
      <c r="S47" s="4"/>
      <c r="T47" s="4"/>
      <c r="U47" s="4"/>
      <c r="V47" s="4"/>
      <c r="W47" s="4"/>
      <c r="X47" s="4"/>
      <c r="Y47" s="4"/>
      <c r="Z47" s="4"/>
    </row>
    <row r="48" spans="1:26" ht="16" thickBot="1">
      <c r="A48" s="81"/>
      <c r="B48" s="82"/>
      <c r="C48" s="82"/>
      <c r="D48" s="82"/>
      <c r="E48" s="82"/>
      <c r="F48" s="88"/>
      <c r="G48" s="89"/>
      <c r="H48" s="4"/>
      <c r="I48" s="4"/>
      <c r="J48" s="4"/>
      <c r="K48" s="4"/>
      <c r="L48" s="4"/>
      <c r="M48" s="4"/>
      <c r="N48" s="4"/>
      <c r="O48" s="4"/>
      <c r="P48" s="4"/>
      <c r="Q48" s="4"/>
      <c r="R48" s="4"/>
      <c r="S48" s="4"/>
      <c r="T48" s="4"/>
      <c r="U48" s="4"/>
      <c r="V48" s="4"/>
      <c r="W48" s="4"/>
      <c r="X48" s="4"/>
      <c r="Y48" s="4"/>
      <c r="Z48" s="4"/>
    </row>
    <row r="49" spans="1:26" ht="16" thickBot="1">
      <c r="A49" s="83"/>
      <c r="B49" s="84"/>
      <c r="C49" s="84"/>
      <c r="D49" s="84"/>
      <c r="E49" s="84"/>
      <c r="F49" s="90"/>
      <c r="G49" s="91"/>
      <c r="H49" s="4"/>
      <c r="I49" s="4"/>
      <c r="J49" s="4"/>
      <c r="K49" s="4"/>
      <c r="L49" s="4"/>
      <c r="M49" s="4"/>
      <c r="N49" s="4"/>
      <c r="O49" s="4"/>
      <c r="P49" s="4"/>
      <c r="Q49" s="4"/>
      <c r="R49" s="4"/>
      <c r="S49" s="4"/>
      <c r="T49" s="4"/>
      <c r="U49" s="4"/>
      <c r="V49" s="4"/>
      <c r="W49" s="4"/>
      <c r="X49" s="4"/>
      <c r="Y49" s="4"/>
      <c r="Z49" s="4"/>
    </row>
    <row r="50" spans="1:26" ht="16" thickBot="1">
      <c r="A50" s="81"/>
      <c r="B50" s="82"/>
      <c r="C50" s="82"/>
      <c r="D50" s="82"/>
      <c r="E50" s="82"/>
      <c r="F50" s="88"/>
      <c r="G50" s="89"/>
      <c r="H50" s="4"/>
      <c r="I50" s="4"/>
      <c r="J50" s="4"/>
      <c r="K50" s="4"/>
      <c r="L50" s="4"/>
      <c r="M50" s="4"/>
      <c r="N50" s="4"/>
      <c r="O50" s="4"/>
      <c r="P50" s="4"/>
      <c r="Q50" s="4"/>
      <c r="R50" s="4"/>
      <c r="S50" s="4"/>
      <c r="T50" s="4"/>
      <c r="U50" s="4"/>
      <c r="V50" s="4"/>
      <c r="W50" s="4"/>
      <c r="X50" s="4"/>
      <c r="Y50" s="4"/>
      <c r="Z50" s="4"/>
    </row>
    <row r="51" spans="1:26" ht="16" thickBot="1">
      <c r="A51" s="83"/>
      <c r="B51" s="84"/>
      <c r="C51" s="84"/>
      <c r="D51" s="84"/>
      <c r="E51" s="84"/>
      <c r="F51" s="90"/>
      <c r="G51" s="91"/>
      <c r="H51" s="4"/>
      <c r="I51" s="4"/>
      <c r="J51" s="4"/>
      <c r="K51" s="4"/>
      <c r="L51" s="4"/>
      <c r="M51" s="4"/>
      <c r="N51" s="4"/>
      <c r="O51" s="4"/>
      <c r="P51" s="4"/>
      <c r="Q51" s="4"/>
      <c r="R51" s="4"/>
      <c r="S51" s="4"/>
      <c r="T51" s="4"/>
      <c r="U51" s="4"/>
      <c r="V51" s="4"/>
      <c r="W51" s="4"/>
      <c r="X51" s="4"/>
      <c r="Y51" s="4"/>
      <c r="Z51" s="4"/>
    </row>
    <row r="52" spans="1:26" ht="16" thickBot="1">
      <c r="A52" s="81"/>
      <c r="B52" s="82"/>
      <c r="C52" s="82"/>
      <c r="D52" s="82"/>
      <c r="E52" s="82"/>
      <c r="F52" s="88"/>
      <c r="G52" s="89"/>
      <c r="H52" s="4"/>
      <c r="I52" s="4"/>
      <c r="J52" s="4"/>
      <c r="K52" s="4"/>
      <c r="L52" s="4"/>
      <c r="M52" s="4"/>
      <c r="N52" s="4"/>
      <c r="O52" s="4"/>
      <c r="P52" s="4"/>
      <c r="Q52" s="4"/>
      <c r="R52" s="4"/>
      <c r="S52" s="4"/>
      <c r="T52" s="4"/>
      <c r="U52" s="4"/>
      <c r="V52" s="4"/>
      <c r="W52" s="4"/>
      <c r="X52" s="4"/>
      <c r="Y52" s="4"/>
      <c r="Z52" s="4"/>
    </row>
    <row r="53" spans="1:26" ht="23" customHeight="1" thickBot="1">
      <c r="A53" s="92"/>
      <c r="B53" s="93"/>
      <c r="C53" s="94"/>
      <c r="D53" s="95"/>
      <c r="E53" s="95"/>
      <c r="F53" s="96"/>
      <c r="G53" s="85"/>
      <c r="H53" s="4"/>
      <c r="I53" s="4"/>
      <c r="J53" s="4"/>
      <c r="K53" s="4"/>
      <c r="L53" s="4"/>
      <c r="M53" s="4"/>
      <c r="N53" s="4"/>
      <c r="O53" s="4"/>
      <c r="P53" s="4"/>
      <c r="Q53" s="4"/>
      <c r="R53" s="4"/>
      <c r="S53" s="4"/>
      <c r="T53" s="4"/>
      <c r="U53" s="4"/>
      <c r="V53" s="4"/>
      <c r="W53" s="4"/>
      <c r="X53" s="4"/>
      <c r="Y53" s="4"/>
      <c r="Z53" s="4"/>
    </row>
    <row r="54" spans="1:26" ht="15.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6"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4">
    <mergeCell ref="F43:G43"/>
    <mergeCell ref="F44:G44"/>
    <mergeCell ref="A53:B53"/>
    <mergeCell ref="C53:F53"/>
    <mergeCell ref="F48:G48"/>
    <mergeCell ref="F49:G49"/>
    <mergeCell ref="F50:G50"/>
    <mergeCell ref="F51:G51"/>
    <mergeCell ref="F52:G52"/>
    <mergeCell ref="A1:F1"/>
    <mergeCell ref="A4:F4"/>
    <mergeCell ref="F45:G45"/>
    <mergeCell ref="F46:G46"/>
    <mergeCell ref="F47:G4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sheetViews>
    <sheetView topLeftCell="A19" workbookViewId="0">
      <selection sqref="A1:F1"/>
    </sheetView>
  </sheetViews>
  <sheetFormatPr defaultColWidth="12.6328125" defaultRowHeight="15.75" customHeight="1"/>
  <cols>
    <col min="1" max="1" width="36.36328125" customWidth="1"/>
    <col min="2" max="2" width="18.90625" customWidth="1"/>
    <col min="3" max="3" width="24.90625" customWidth="1"/>
  </cols>
  <sheetData>
    <row r="1" spans="1:26" ht="15.75" customHeight="1">
      <c r="A1" t="s" s="72">
        <v>113</v>
      </c>
      <c r="B1" s="73"/>
      <c r="C1" s="73"/>
      <c r="D1" s="73"/>
      <c r="E1" s="73"/>
      <c r="F1" s="73"/>
      <c r="G1" s="2"/>
      <c r="H1" s="2"/>
      <c r="I1" s="2"/>
      <c r="J1" s="2"/>
      <c r="K1" s="2"/>
      <c r="L1" s="2"/>
      <c r="M1" s="2"/>
      <c r="N1" s="2"/>
      <c r="O1" s="2"/>
      <c r="P1" s="2"/>
      <c r="Q1" s="2"/>
      <c r="R1" s="2"/>
      <c r="S1" s="2"/>
      <c r="T1" s="2"/>
      <c r="U1" s="2"/>
      <c r="V1" s="2"/>
      <c r="W1" s="2"/>
      <c r="X1" s="2"/>
      <c r="Y1" s="2"/>
      <c r="Z1" s="2"/>
    </row>
    <row r="2" spans="1:26" ht="15.75" customHeight="1">
      <c r="A2" s="1"/>
      <c r="B2" s="1"/>
      <c r="C2" s="1"/>
      <c r="D2" s="1"/>
      <c r="E2" s="1"/>
      <c r="F2" s="1"/>
      <c r="G2" s="2"/>
      <c r="H2" s="2"/>
      <c r="I2" s="2"/>
      <c r="J2" s="2"/>
      <c r="K2" s="2"/>
      <c r="L2" s="2"/>
      <c r="M2" s="2"/>
      <c r="N2" s="2"/>
      <c r="O2" s="2"/>
      <c r="P2" s="2"/>
      <c r="Q2" s="2"/>
      <c r="R2" s="2"/>
      <c r="S2" s="2"/>
      <c r="T2" s="2"/>
      <c r="U2" s="2"/>
      <c r="V2" s="2"/>
      <c r="W2" s="2"/>
      <c r="X2" s="2"/>
      <c r="Y2" s="2"/>
      <c r="Z2" s="2"/>
    </row>
    <row r="3" spans="1:26" ht="15.75" customHeight="1">
      <c r="A3" t="s" s="8">
        <v>114</v>
      </c>
      <c r="B3" t="s" s="8">
        <v>115</v>
      </c>
      <c r="C3" s="1"/>
      <c r="D3" s="1"/>
      <c r="E3" s="1"/>
      <c r="F3" s="1"/>
      <c r="G3" s="2"/>
      <c r="H3" s="2"/>
      <c r="I3" s="2"/>
      <c r="J3" s="2"/>
      <c r="K3" s="2"/>
      <c r="L3" s="2"/>
      <c r="M3" s="2"/>
      <c r="N3" s="2"/>
      <c r="O3" s="2"/>
      <c r="P3" s="2"/>
      <c r="Q3" s="2"/>
      <c r="R3" s="2"/>
      <c r="S3" s="2"/>
      <c r="T3" s="2"/>
      <c r="U3" s="2"/>
      <c r="V3" s="2"/>
      <c r="W3" s="2"/>
      <c r="X3" s="2"/>
      <c r="Y3" s="2"/>
      <c r="Z3" s="2"/>
    </row>
    <row r="4" spans="1:26" ht="15.75" customHeight="1">
      <c r="A4" t="s" s="14">
        <v>116</v>
      </c>
      <c r="B4" s="296">
        <v>0.4858</v>
      </c>
      <c r="C4" s="1"/>
      <c r="D4" s="1"/>
      <c r="E4" s="1"/>
      <c r="F4" s="1"/>
      <c r="G4" s="2"/>
      <c r="H4" s="2"/>
      <c r="I4" s="2"/>
      <c r="J4" s="2"/>
      <c r="K4" s="2"/>
      <c r="L4" s="2"/>
      <c r="M4" s="2"/>
      <c r="N4" s="2"/>
      <c r="O4" s="2"/>
      <c r="P4" s="2"/>
      <c r="Q4" s="2"/>
      <c r="R4" s="2"/>
      <c r="S4" s="2"/>
      <c r="T4" s="2"/>
      <c r="U4" s="2"/>
      <c r="V4" s="2"/>
      <c r="W4" s="2"/>
      <c r="X4" s="2"/>
      <c r="Y4" s="2"/>
      <c r="Z4" s="2"/>
    </row>
    <row r="5" spans="1:26" ht="15.75" customHeight="1">
      <c r="A5" t="s" s="14">
        <v>117</v>
      </c>
      <c r="B5" s="297">
        <v>0.5142</v>
      </c>
      <c r="C5" s="1"/>
      <c r="D5" s="1"/>
      <c r="E5" s="1"/>
      <c r="F5" s="1"/>
      <c r="G5" s="2"/>
      <c r="H5" s="2"/>
      <c r="I5" s="2"/>
      <c r="J5" s="2"/>
      <c r="K5" s="2"/>
      <c r="L5" s="2"/>
      <c r="M5" s="2"/>
      <c r="N5" s="2"/>
      <c r="O5" s="2"/>
      <c r="P5" s="2"/>
      <c r="Q5" s="2"/>
      <c r="R5" s="2"/>
      <c r="S5" s="2"/>
      <c r="T5" s="2"/>
      <c r="U5" s="2"/>
      <c r="V5" s="2"/>
      <c r="W5" s="2"/>
      <c r="X5" s="2"/>
      <c r="Y5" s="2"/>
      <c r="Z5" s="2"/>
    </row>
    <row r="6" spans="1:26" ht="15.75" customHeight="1">
      <c r="A6" t="s" s="14">
        <v>118</v>
      </c>
      <c r="B6" s="298">
        <v>1</v>
      </c>
      <c r="C6" s="1"/>
      <c r="D6" s="1"/>
      <c r="E6" s="1"/>
      <c r="F6" s="1"/>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72"/>
      <c r="B11" s="73"/>
      <c r="C11" s="73"/>
      <c r="D11" s="73"/>
      <c r="E11" s="73"/>
      <c r="F11" s="73"/>
      <c r="G11" s="2"/>
      <c r="H11" s="2"/>
      <c r="I11" s="2"/>
      <c r="J11" s="2"/>
      <c r="K11" s="2"/>
      <c r="L11" s="2"/>
      <c r="M11" s="2"/>
      <c r="N11" s="2"/>
      <c r="O11" s="2"/>
      <c r="P11" s="2"/>
      <c r="Q11" s="2"/>
      <c r="R11" s="2"/>
      <c r="S11" s="2"/>
      <c r="T11" s="2"/>
      <c r="U11" s="2"/>
      <c r="V11" s="2"/>
      <c r="W11" s="2"/>
      <c r="X11" s="2"/>
      <c r="Y11" s="2"/>
      <c r="Z11" s="2"/>
    </row>
    <row r="12" spans="1:26" ht="15.75" customHeight="1">
      <c r="A12" s="35"/>
      <c r="B12" s="35"/>
      <c r="C12" s="35"/>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76"/>
      <c r="B13" s="73"/>
      <c r="C13" s="73"/>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8"/>
      <c r="B14" s="8"/>
      <c r="C14" t="s" s="8">
        <v>121</v>
      </c>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14"/>
      <c r="B15" s="43"/>
      <c r="C15" s="11">
        <v>19526400000</v>
      </c>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14"/>
      <c r="B16" s="43"/>
      <c r="C16" s="11">
        <v>13740800000</v>
      </c>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14"/>
      <c r="B17" s="43"/>
      <c r="C17" s="11">
        <v>9401600000</v>
      </c>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14"/>
      <c r="B18" s="43"/>
      <c r="C18" s="11">
        <v>7232000000</v>
      </c>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14"/>
      <c r="B19" s="43"/>
      <c r="C19" s="11">
        <v>5604800000</v>
      </c>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14"/>
      <c r="B20" s="43"/>
      <c r="C20" s="11">
        <v>5062400000</v>
      </c>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14"/>
      <c r="B21" s="43"/>
      <c r="C21" s="11">
        <v>4520000000</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14"/>
      <c r="B22" s="43"/>
      <c r="C22" s="11">
        <v>3616000000</v>
      </c>
      <c r="D22" s="2"/>
      <c r="E22" s="2"/>
      <c r="F22" s="2"/>
      <c r="G22" s="2"/>
      <c r="H22" s="2"/>
      <c r="I22" s="2"/>
      <c r="J22" s="2"/>
      <c r="K22" s="2"/>
      <c r="L22" s="2"/>
      <c r="M22" s="2"/>
      <c r="N22" s="2"/>
      <c r="O22" s="2"/>
      <c r="P22" s="2"/>
      <c r="Q22" s="2"/>
      <c r="R22" s="2"/>
      <c r="S22" s="2"/>
      <c r="T22" s="2"/>
      <c r="U22" s="2"/>
      <c r="V22" s="2"/>
      <c r="W22" s="2"/>
      <c r="X22" s="2"/>
      <c r="Y22" s="2"/>
      <c r="Z22" s="2"/>
    </row>
    <row r="23" spans="1:26" ht="15.5">
      <c r="A23" s="14"/>
      <c r="B23" s="43"/>
      <c r="C23" s="11">
        <v>2892800000</v>
      </c>
      <c r="D23" s="2"/>
      <c r="E23" s="2"/>
      <c r="F23" s="2"/>
      <c r="G23" s="2"/>
      <c r="H23" s="2"/>
      <c r="I23" s="2"/>
      <c r="J23" s="2"/>
      <c r="K23" s="2"/>
      <c r="L23" s="2"/>
      <c r="M23" s="2"/>
      <c r="N23" s="2"/>
      <c r="O23" s="2"/>
      <c r="P23" s="2"/>
      <c r="Q23" s="2"/>
      <c r="R23" s="2"/>
      <c r="S23" s="2"/>
      <c r="T23" s="2"/>
      <c r="U23" s="2"/>
      <c r="V23" s="2"/>
      <c r="W23" s="2"/>
      <c r="X23" s="2"/>
      <c r="Y23" s="2"/>
      <c r="Z23" s="2"/>
    </row>
    <row r="24" spans="1:26" ht="15.5">
      <c r="A24" s="14"/>
      <c r="B24" s="43"/>
      <c r="C24" s="11">
        <v>2531200000</v>
      </c>
      <c r="D24" s="2"/>
      <c r="E24" s="2"/>
      <c r="F24" s="2"/>
      <c r="G24" s="2"/>
      <c r="H24" s="2"/>
      <c r="I24" s="2"/>
      <c r="J24" s="2"/>
      <c r="K24" s="2"/>
      <c r="L24" s="2"/>
      <c r="M24" s="2"/>
      <c r="N24" s="2"/>
      <c r="O24" s="2"/>
      <c r="P24" s="2"/>
      <c r="Q24" s="2"/>
      <c r="R24" s="2"/>
      <c r="S24" s="2"/>
      <c r="T24" s="2"/>
      <c r="U24" s="2"/>
      <c r="V24" s="2"/>
      <c r="W24" s="2"/>
      <c r="X24" s="2"/>
      <c r="Y24" s="2"/>
      <c r="Z24" s="2"/>
    </row>
    <row r="25" spans="1:26" ht="15.5">
      <c r="A25" s="14"/>
      <c r="B25" s="43"/>
      <c r="C25" s="11">
        <v>106672000000</v>
      </c>
      <c r="D25" s="2"/>
      <c r="E25" s="2"/>
      <c r="F25" s="2"/>
      <c r="G25" s="2"/>
      <c r="H25" s="2"/>
      <c r="I25" s="2"/>
      <c r="J25" s="2"/>
      <c r="K25" s="2"/>
      <c r="L25" s="2"/>
      <c r="M25" s="2"/>
      <c r="N25" s="2"/>
      <c r="O25" s="2"/>
      <c r="P25" s="2"/>
      <c r="Q25" s="2"/>
      <c r="R25" s="2"/>
      <c r="S25" s="2"/>
      <c r="T25" s="2"/>
      <c r="U25" s="2"/>
      <c r="V25" s="2"/>
      <c r="W25" s="2"/>
      <c r="X25" s="2"/>
      <c r="Y25" s="2"/>
      <c r="Z25" s="2"/>
    </row>
    <row r="26" spans="1:26" ht="15.5">
      <c r="A26" s="14"/>
      <c r="B26" s="45"/>
      <c r="C26" s="10">
        <v>180800000000</v>
      </c>
      <c r="D26" s="2"/>
      <c r="E26" s="2"/>
      <c r="F26" s="2"/>
      <c r="G26" s="2"/>
      <c r="H26" s="2"/>
      <c r="I26" s="2"/>
      <c r="J26" s="2"/>
      <c r="K26" s="2"/>
      <c r="L26" s="2"/>
      <c r="M26" s="2"/>
      <c r="N26" s="2"/>
      <c r="O26" s="2"/>
      <c r="P26" s="2"/>
      <c r="Q26" s="2"/>
      <c r="R26" s="2"/>
      <c r="S26" s="2"/>
      <c r="T26" s="2"/>
      <c r="U26" s="2"/>
      <c r="V26" s="2"/>
      <c r="W26" s="2"/>
      <c r="X26" s="2"/>
      <c r="Y26" s="2"/>
      <c r="Z26" s="2"/>
    </row>
    <row r="27" spans="1:26" ht="15.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5">
      <c r="A30" s="77"/>
      <c r="B30" s="73"/>
      <c r="C30" s="2"/>
      <c r="D30" s="2"/>
      <c r="E30" s="2"/>
      <c r="F30" s="2"/>
      <c r="G30" s="2"/>
      <c r="H30" s="2"/>
      <c r="I30" s="2"/>
      <c r="J30" s="2"/>
      <c r="K30" s="2"/>
      <c r="L30" s="2"/>
      <c r="M30" s="2"/>
      <c r="N30" s="2"/>
      <c r="O30" s="2"/>
      <c r="P30" s="2"/>
      <c r="Q30" s="2"/>
      <c r="R30" s="2"/>
      <c r="S30" s="2"/>
      <c r="T30" s="2"/>
      <c r="U30" s="2"/>
      <c r="V30" s="2"/>
      <c r="W30" s="2"/>
      <c r="X30" s="2"/>
      <c r="Y30" s="2"/>
      <c r="Z30" s="2"/>
    </row>
    <row r="31" spans="1:26" ht="15.5">
      <c r="A31" s="2"/>
      <c r="B31" s="46"/>
      <c r="C31" s="2"/>
      <c r="D31" s="2"/>
      <c r="E31" s="2"/>
      <c r="F31" s="2"/>
      <c r="G31" s="2"/>
      <c r="H31" s="2"/>
      <c r="I31" s="2"/>
      <c r="J31" s="2"/>
      <c r="K31" s="2"/>
      <c r="L31" s="2"/>
      <c r="M31" s="2"/>
      <c r="N31" s="2"/>
      <c r="O31" s="2"/>
      <c r="P31" s="2"/>
      <c r="Q31" s="2"/>
      <c r="R31" s="2"/>
      <c r="S31" s="2"/>
      <c r="T31" s="2"/>
      <c r="U31" s="2"/>
      <c r="V31" s="2"/>
      <c r="W31" s="2"/>
      <c r="X31" s="2"/>
      <c r="Y31" s="2"/>
      <c r="Z31" s="2"/>
    </row>
    <row r="32" spans="1:26" ht="15.5">
      <c r="A32" s="2"/>
      <c r="B32" s="46"/>
      <c r="C32" s="2"/>
      <c r="D32" s="2"/>
      <c r="E32" s="2"/>
      <c r="F32" s="2"/>
      <c r="G32" s="2"/>
      <c r="H32" s="2"/>
      <c r="I32" s="2"/>
      <c r="J32" s="2"/>
      <c r="K32" s="2"/>
      <c r="L32" s="2"/>
      <c r="M32" s="2"/>
      <c r="N32" s="2"/>
      <c r="O32" s="2"/>
      <c r="P32" s="2"/>
      <c r="Q32" s="2"/>
      <c r="R32" s="2"/>
      <c r="S32" s="2"/>
      <c r="T32" s="2"/>
      <c r="U32" s="2"/>
      <c r="V32" s="2"/>
      <c r="W32" s="2"/>
      <c r="X32" s="2"/>
      <c r="Y32" s="2"/>
      <c r="Z32" s="2"/>
    </row>
    <row r="33" spans="1:26" ht="15.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5">
      <c r="A36" s="77"/>
      <c r="B36" s="73"/>
      <c r="C36" s="2"/>
      <c r="D36" s="2"/>
      <c r="E36" s="2"/>
      <c r="F36" s="2"/>
      <c r="G36" s="2"/>
      <c r="H36" s="2"/>
      <c r="I36" s="2"/>
      <c r="J36" s="2"/>
      <c r="K36" s="2"/>
      <c r="L36" s="2"/>
      <c r="M36" s="2"/>
      <c r="N36" s="2"/>
      <c r="O36" s="2"/>
      <c r="P36" s="2"/>
      <c r="Q36" s="2"/>
      <c r="R36" s="2"/>
      <c r="S36" s="2"/>
      <c r="T36" s="2"/>
      <c r="U36" s="2"/>
      <c r="V36" s="2"/>
      <c r="W36" s="2"/>
      <c r="X36" s="2"/>
      <c r="Y36" s="2"/>
      <c r="Z36" s="2"/>
    </row>
    <row r="37" spans="1:26" ht="15.5">
      <c r="A37" s="2"/>
      <c r="B37" s="47"/>
      <c r="C37" s="2"/>
      <c r="D37" s="2"/>
      <c r="E37" s="2"/>
      <c r="F37" s="2"/>
      <c r="G37" s="2"/>
      <c r="H37" s="2"/>
      <c r="I37" s="2"/>
      <c r="J37" s="2"/>
      <c r="K37" s="2"/>
      <c r="L37" s="2"/>
      <c r="M37" s="2"/>
      <c r="N37" s="2"/>
      <c r="O37" s="2"/>
      <c r="P37" s="2"/>
      <c r="Q37" s="2"/>
      <c r="R37" s="2"/>
      <c r="S37" s="2"/>
      <c r="T37" s="2"/>
      <c r="U37" s="2"/>
      <c r="V37" s="2"/>
      <c r="W37" s="2"/>
      <c r="X37" s="2"/>
      <c r="Y37" s="2"/>
      <c r="Z37" s="2"/>
    </row>
    <row r="38" spans="1:26" ht="15.5">
      <c r="A38" s="2"/>
      <c r="B38" s="47"/>
      <c r="C38" s="2"/>
      <c r="D38" s="2"/>
      <c r="E38" s="2"/>
      <c r="F38" s="2"/>
      <c r="G38" s="2"/>
      <c r="H38" s="2"/>
      <c r="I38" s="2"/>
      <c r="J38" s="2"/>
      <c r="K38" s="2"/>
      <c r="L38" s="2"/>
      <c r="M38" s="2"/>
      <c r="N38" s="2"/>
      <c r="O38" s="2"/>
      <c r="P38" s="2"/>
      <c r="Q38" s="2"/>
      <c r="R38" s="2"/>
      <c r="S38" s="2"/>
      <c r="T38" s="2"/>
      <c r="U38" s="2"/>
      <c r="V38" s="2"/>
      <c r="W38" s="2"/>
      <c r="X38" s="2"/>
      <c r="Y38" s="2"/>
      <c r="Z38" s="2"/>
    </row>
    <row r="39" spans="1:26" ht="15.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5">
    <mergeCell ref="A1:F1"/>
    <mergeCell ref="A11:F11"/>
    <mergeCell ref="A13:C13"/>
    <mergeCell ref="A30:B30"/>
    <mergeCell ref="A36:B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sheetViews>
    <sheetView tabSelected="1" topLeftCell="A7" workbookViewId="0">
      <selection activeCell="A3" sqref="A3:B5"/>
    </sheetView>
  </sheetViews>
  <sheetFormatPr defaultColWidth="12.6328125" defaultRowHeight="15.75" customHeight="1"/>
  <cols>
    <col min="1" max="1" width="35.453125" customWidth="1"/>
    <col min="2" max="2" width="20.7265625" customWidth="1"/>
    <col min="3" max="3" width="24.90625" customWidth="1"/>
    <col min="5" max="5" width="23.90625" customWidth="1"/>
    <col min="6" max="6" width="20.7265625" customWidth="1"/>
  </cols>
  <sheetData>
    <row r="1" spans="1:26" ht="15.75" customHeight="1">
      <c r="A1" t="s" s="72">
        <v>139</v>
      </c>
      <c r="B1" s="73"/>
      <c r="C1" s="73"/>
      <c r="D1" s="73"/>
      <c r="E1" s="73"/>
      <c r="F1" s="73"/>
      <c r="G1" s="2"/>
      <c r="H1" s="2"/>
      <c r="I1" s="2"/>
      <c r="J1" s="2"/>
      <c r="K1" s="2"/>
      <c r="L1" s="2"/>
      <c r="M1" s="2"/>
      <c r="N1" s="2"/>
      <c r="O1" s="2"/>
      <c r="P1" s="2"/>
      <c r="Q1" s="2"/>
      <c r="R1" s="2"/>
      <c r="S1" s="2"/>
      <c r="T1" s="2"/>
      <c r="U1" s="2"/>
      <c r="V1" s="2"/>
      <c r="W1" s="2"/>
      <c r="X1" s="2"/>
      <c r="Y1" s="2"/>
      <c r="Z1" s="2"/>
    </row>
    <row r="2" spans="1:26" ht="15.75" customHeight="1">
      <c r="A2" s="1"/>
      <c r="B2" s="1"/>
      <c r="C2" s="1"/>
      <c r="D2" s="1"/>
      <c r="E2" s="1"/>
      <c r="F2" s="1"/>
      <c r="G2" s="2"/>
      <c r="H2" s="2"/>
      <c r="I2" s="2"/>
      <c r="J2" s="2"/>
      <c r="K2" s="2"/>
      <c r="L2" s="2"/>
      <c r="M2" s="2"/>
      <c r="N2" s="2"/>
      <c r="O2" s="2"/>
      <c r="P2" s="2"/>
      <c r="Q2" s="2"/>
      <c r="R2" s="2"/>
      <c r="S2" s="2"/>
      <c r="T2" s="2"/>
      <c r="U2" s="2"/>
      <c r="V2" s="2"/>
      <c r="W2" s="2"/>
      <c r="X2" s="2"/>
      <c r="Y2" s="2"/>
      <c r="Z2" s="2"/>
    </row>
    <row r="3" spans="1:26" ht="15.75" customHeight="1">
      <c r="A3" t="s" s="8">
        <v>344</v>
      </c>
      <c r="B3" t="s" s="8">
        <v>115</v>
      </c>
      <c r="C3" s="1"/>
      <c r="D3" s="1"/>
      <c r="E3" s="1"/>
      <c r="F3" s="1"/>
      <c r="G3" s="2"/>
      <c r="H3" s="2"/>
      <c r="I3" s="2"/>
      <c r="J3" s="2"/>
      <c r="K3" s="2"/>
      <c r="L3" s="2"/>
      <c r="M3" s="2"/>
      <c r="N3" s="2"/>
      <c r="O3" s="2"/>
      <c r="P3" s="2"/>
      <c r="Q3" s="2"/>
      <c r="R3" s="2"/>
      <c r="S3" s="2"/>
      <c r="T3" s="2"/>
      <c r="U3" s="2"/>
      <c r="V3" s="2"/>
      <c r="W3" s="2"/>
      <c r="X3" s="2"/>
      <c r="Y3" s="2"/>
      <c r="Z3" s="2"/>
    </row>
    <row r="4" spans="1:26" ht="15.75" customHeight="1">
      <c r="A4" t="s" s="14">
        <v>140</v>
      </c>
      <c r="B4" s="299">
        <v>0.45</v>
      </c>
      <c r="C4" s="1"/>
      <c r="D4" s="1"/>
      <c r="E4" s="1"/>
      <c r="F4" s="1"/>
      <c r="G4" s="2"/>
      <c r="H4" s="2"/>
      <c r="I4" s="2"/>
      <c r="J4" s="2"/>
      <c r="K4" s="2"/>
      <c r="L4" s="2"/>
      <c r="M4" s="2"/>
      <c r="N4" s="2"/>
      <c r="O4" s="2"/>
      <c r="P4" s="2"/>
      <c r="Q4" s="2"/>
      <c r="R4" s="2"/>
      <c r="S4" s="2"/>
      <c r="T4" s="2"/>
      <c r="U4" s="2"/>
      <c r="V4" s="2"/>
      <c r="W4" s="2"/>
      <c r="X4" s="2"/>
      <c r="Y4" s="2"/>
      <c r="Z4" s="2"/>
    </row>
    <row r="5" spans="1:26" ht="15.75" customHeight="1">
      <c r="A5" t="s" s="14">
        <v>142</v>
      </c>
      <c r="B5" s="300">
        <v>0.55</v>
      </c>
      <c r="C5" s="1"/>
      <c r="D5" s="1"/>
      <c r="E5" s="1"/>
      <c r="F5" s="1"/>
      <c r="G5" s="2"/>
      <c r="H5" s="2"/>
      <c r="I5" s="2"/>
      <c r="J5" s="2"/>
      <c r="K5" s="2"/>
      <c r="L5" s="2"/>
      <c r="M5" s="2"/>
      <c r="N5" s="2"/>
      <c r="O5" s="2"/>
      <c r="P5" s="2"/>
      <c r="Q5" s="2"/>
      <c r="R5" s="2"/>
      <c r="S5" s="2"/>
      <c r="T5" s="2"/>
      <c r="U5" s="2"/>
      <c r="V5" s="2"/>
      <c r="W5" s="2"/>
      <c r="X5" s="2"/>
      <c r="Y5" s="2"/>
      <c r="Z5" s="2"/>
    </row>
    <row r="6" spans="1:26" ht="15.75" customHeight="1">
      <c r="A6" t="s" s="14">
        <v>118</v>
      </c>
      <c r="B6" s="301">
        <v>1</v>
      </c>
      <c r="C6" s="1"/>
      <c r="D6" s="1"/>
      <c r="E6" s="1"/>
      <c r="F6" s="1"/>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72"/>
      <c r="B9" s="73"/>
      <c r="C9" s="73"/>
      <c r="D9" s="73"/>
      <c r="E9" s="73"/>
      <c r="F9" s="73"/>
      <c r="G9" s="2"/>
      <c r="H9" s="2"/>
      <c r="I9" s="2"/>
      <c r="J9" s="2"/>
      <c r="K9" s="2"/>
      <c r="L9" s="2"/>
      <c r="M9" s="2"/>
      <c r="N9" s="2"/>
      <c r="O9" s="2"/>
      <c r="P9" s="2"/>
      <c r="Q9" s="2"/>
      <c r="R9" s="2"/>
      <c r="S9" s="2"/>
      <c r="T9" s="2"/>
      <c r="U9" s="2"/>
      <c r="V9" s="2"/>
      <c r="W9" s="2"/>
      <c r="X9" s="2"/>
      <c r="Y9" s="2"/>
      <c r="Z9" s="2"/>
    </row>
    <row r="10" spans="1:26" ht="15.75" customHeight="1">
      <c r="A10" s="35"/>
      <c r="B10" s="35"/>
      <c r="C10" s="35"/>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76"/>
      <c r="B11" s="73"/>
      <c r="C11" s="73"/>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8"/>
      <c r="B12" s="8"/>
      <c r="C12" t="s" s="8">
        <v>121</v>
      </c>
      <c r="D12" s="2"/>
      <c r="E12" t="s" s="35">
        <v>145</v>
      </c>
      <c r="F12" t="s" s="39">
        <v>121</v>
      </c>
      <c r="G12" s="2"/>
      <c r="H12" s="2"/>
      <c r="I12" s="2"/>
      <c r="J12" s="2"/>
      <c r="K12" s="2"/>
      <c r="L12" s="2"/>
      <c r="M12" s="2"/>
      <c r="N12" s="2"/>
      <c r="O12" s="2"/>
      <c r="P12" s="2"/>
      <c r="Q12" s="2"/>
      <c r="R12" s="2"/>
      <c r="S12" s="2"/>
      <c r="T12" s="2"/>
      <c r="U12" s="2"/>
      <c r="V12" s="2"/>
      <c r="W12" s="2"/>
      <c r="X12" s="2"/>
      <c r="Y12" s="2"/>
      <c r="Z12" s="2"/>
    </row>
    <row r="13" spans="1:26" ht="15.75" customHeight="1">
      <c r="A13" s="14"/>
      <c r="B13" s="43"/>
      <c r="C13" s="11">
        <v>29832000000</v>
      </c>
      <c r="D13" s="2"/>
      <c r="E13" s="2">
        <f t="shared" ref="E13:E23" si="0">A13</f>
      </c>
      <c r="F13" s="36">
        <f t="shared" ref="F13:F23" si="1">C13</f>
      </c>
      <c r="G13" s="2"/>
      <c r="H13" s="2"/>
      <c r="I13" s="2"/>
      <c r="J13" s="2"/>
      <c r="K13" s="2"/>
      <c r="L13" s="2"/>
      <c r="M13" s="2"/>
      <c r="N13" s="2"/>
      <c r="O13" s="2"/>
      <c r="P13" s="2"/>
      <c r="Q13" s="2"/>
      <c r="R13" s="2"/>
      <c r="S13" s="2"/>
      <c r="T13" s="2"/>
      <c r="U13" s="2"/>
      <c r="V13" s="2"/>
      <c r="W13" s="2"/>
      <c r="X13" s="2"/>
      <c r="Y13" s="2"/>
      <c r="Z13" s="2"/>
    </row>
    <row r="14" spans="1:26" ht="15.75" customHeight="1">
      <c r="A14" s="14"/>
      <c r="B14" s="43"/>
      <c r="C14" s="11">
        <v>13017600000</v>
      </c>
      <c r="D14" s="2"/>
      <c r="E14" s="2">
        <f t="shared" si="0"/>
      </c>
      <c r="F14" s="36">
        <f t="shared" si="1"/>
      </c>
      <c r="G14" s="2"/>
      <c r="H14" s="2"/>
      <c r="I14" s="2"/>
      <c r="J14" s="2"/>
      <c r="K14" s="2"/>
      <c r="L14" s="2"/>
      <c r="M14" s="2"/>
      <c r="N14" s="2"/>
      <c r="O14" s="2"/>
      <c r="P14" s="2"/>
      <c r="Q14" s="2"/>
      <c r="R14" s="2"/>
      <c r="S14" s="2"/>
      <c r="T14" s="2"/>
      <c r="U14" s="2"/>
      <c r="V14" s="2"/>
      <c r="W14" s="2"/>
      <c r="X14" s="2"/>
      <c r="Y14" s="2"/>
      <c r="Z14" s="2"/>
    </row>
    <row r="15" spans="1:26" ht="15.75" customHeight="1">
      <c r="A15" s="14"/>
      <c r="B15" s="43"/>
      <c r="C15" s="11">
        <v>9944000000</v>
      </c>
      <c r="D15" s="2"/>
      <c r="E15" s="2">
        <f t="shared" si="0"/>
      </c>
      <c r="F15" s="36">
        <f t="shared" si="1"/>
      </c>
      <c r="G15" s="2"/>
      <c r="H15" s="2"/>
      <c r="I15" s="2"/>
      <c r="J15" s="2"/>
      <c r="K15" s="2"/>
      <c r="L15" s="2"/>
      <c r="M15" s="2"/>
      <c r="N15" s="2"/>
      <c r="O15" s="2"/>
      <c r="P15" s="2"/>
      <c r="Q15" s="2"/>
      <c r="R15" s="2"/>
      <c r="S15" s="2"/>
      <c r="T15" s="2"/>
      <c r="U15" s="2"/>
      <c r="V15" s="2"/>
      <c r="W15" s="2"/>
      <c r="X15" s="2"/>
      <c r="Y15" s="2"/>
      <c r="Z15" s="2"/>
    </row>
    <row r="16" spans="1:26" ht="15.75" customHeight="1">
      <c r="A16" s="14"/>
      <c r="B16" s="43"/>
      <c r="C16" s="11">
        <v>7593600000</v>
      </c>
      <c r="D16" s="2"/>
      <c r="E16" s="2">
        <f t="shared" si="0"/>
      </c>
      <c r="F16" s="36">
        <f t="shared" si="1"/>
      </c>
      <c r="G16" s="2"/>
      <c r="H16" s="2"/>
      <c r="I16" s="2"/>
      <c r="J16" s="2"/>
      <c r="K16" s="2"/>
      <c r="L16" s="2"/>
      <c r="M16" s="2"/>
      <c r="N16" s="2"/>
      <c r="O16" s="2"/>
      <c r="P16" s="2"/>
      <c r="Q16" s="2"/>
      <c r="R16" s="2"/>
      <c r="S16" s="2"/>
      <c r="T16" s="2"/>
      <c r="U16" s="2"/>
      <c r="V16" s="2"/>
      <c r="W16" s="2"/>
      <c r="X16" s="2"/>
      <c r="Y16" s="2"/>
      <c r="Z16" s="2"/>
    </row>
    <row r="17" spans="1:26" ht="15.75" customHeight="1">
      <c r="A17" s="14"/>
      <c r="B17" s="43"/>
      <c r="C17" s="11">
        <v>6870400000</v>
      </c>
      <c r="D17" s="2"/>
      <c r="E17" s="2">
        <f t="shared" si="0"/>
      </c>
      <c r="F17" s="36">
        <f t="shared" si="1"/>
      </c>
      <c r="G17" s="2"/>
      <c r="H17" s="2"/>
      <c r="I17" s="2"/>
      <c r="J17" s="2"/>
      <c r="K17" s="2"/>
      <c r="L17" s="2"/>
      <c r="M17" s="2"/>
      <c r="N17" s="2"/>
      <c r="O17" s="2"/>
      <c r="P17" s="2"/>
      <c r="Q17" s="2"/>
      <c r="R17" s="2"/>
      <c r="S17" s="2"/>
      <c r="T17" s="2"/>
      <c r="U17" s="2"/>
      <c r="V17" s="2"/>
      <c r="W17" s="2"/>
      <c r="X17" s="2"/>
      <c r="Y17" s="2"/>
      <c r="Z17" s="2"/>
    </row>
    <row r="18" spans="1:26" ht="15.75" customHeight="1">
      <c r="A18" s="14"/>
      <c r="B18" s="43"/>
      <c r="C18" s="11">
        <v>6255680000</v>
      </c>
      <c r="D18" s="2"/>
      <c r="E18" s="2">
        <f t="shared" si="0"/>
      </c>
      <c r="F18" s="36">
        <f t="shared" si="1"/>
      </c>
      <c r="G18" s="2"/>
      <c r="H18" s="2"/>
      <c r="I18" s="2"/>
      <c r="J18" s="2"/>
      <c r="K18" s="2"/>
      <c r="L18" s="2"/>
      <c r="M18" s="2"/>
      <c r="N18" s="2"/>
      <c r="O18" s="2"/>
      <c r="P18" s="2"/>
      <c r="Q18" s="2"/>
      <c r="R18" s="2"/>
      <c r="S18" s="2"/>
      <c r="T18" s="2"/>
      <c r="U18" s="2"/>
      <c r="V18" s="2"/>
      <c r="W18" s="2"/>
      <c r="X18" s="2"/>
      <c r="Y18" s="2"/>
      <c r="Z18" s="2"/>
    </row>
    <row r="19" spans="1:26" ht="15.75" customHeight="1">
      <c r="A19" s="14"/>
      <c r="B19" s="43"/>
      <c r="C19" s="11">
        <v>4881600000</v>
      </c>
      <c r="D19" s="2"/>
      <c r="E19" s="2">
        <f t="shared" si="0"/>
      </c>
      <c r="F19" s="36">
        <f t="shared" si="1"/>
      </c>
      <c r="G19" s="2"/>
      <c r="H19" s="2"/>
      <c r="I19" s="2"/>
      <c r="J19" s="2"/>
      <c r="K19" s="2"/>
      <c r="L19" s="2"/>
      <c r="M19" s="2"/>
      <c r="N19" s="2"/>
      <c r="O19" s="2"/>
      <c r="P19" s="2"/>
      <c r="Q19" s="2"/>
      <c r="R19" s="2"/>
      <c r="S19" s="2"/>
      <c r="T19" s="2"/>
      <c r="U19" s="2"/>
      <c r="V19" s="2"/>
      <c r="W19" s="2"/>
      <c r="X19" s="2"/>
      <c r="Y19" s="2"/>
      <c r="Z19" s="2"/>
    </row>
    <row r="20" spans="1:26" ht="15.75" customHeight="1">
      <c r="A20" s="14"/>
      <c r="B20" s="43"/>
      <c r="C20" s="11">
        <v>3796800000</v>
      </c>
      <c r="D20" s="2"/>
      <c r="E20" s="2">
        <f t="shared" si="0"/>
      </c>
      <c r="F20" s="36">
        <f t="shared" si="1"/>
      </c>
      <c r="G20" s="2"/>
      <c r="H20" s="2"/>
      <c r="I20" s="2"/>
      <c r="J20" s="2"/>
      <c r="K20" s="2"/>
      <c r="L20" s="2"/>
      <c r="M20" s="2"/>
      <c r="N20" s="2"/>
      <c r="O20" s="2"/>
      <c r="P20" s="2"/>
      <c r="Q20" s="2"/>
      <c r="R20" s="2"/>
      <c r="S20" s="2"/>
      <c r="T20" s="2"/>
      <c r="U20" s="2"/>
      <c r="V20" s="2"/>
      <c r="W20" s="2"/>
      <c r="X20" s="2"/>
      <c r="Y20" s="2"/>
      <c r="Z20" s="2"/>
    </row>
    <row r="21" spans="1:26" ht="15.75" customHeight="1">
      <c r="A21" s="14"/>
      <c r="B21" s="43"/>
      <c r="C21" s="11">
        <v>3254400000</v>
      </c>
      <c r="D21" s="2"/>
      <c r="E21" s="2">
        <f t="shared" si="0"/>
      </c>
      <c r="F21" s="36">
        <f t="shared" si="1"/>
      </c>
      <c r="G21" s="2"/>
      <c r="H21" s="2"/>
      <c r="I21" s="2"/>
      <c r="J21" s="2"/>
      <c r="K21" s="2"/>
      <c r="L21" s="2"/>
      <c r="M21" s="2"/>
      <c r="N21" s="2"/>
      <c r="O21" s="2"/>
      <c r="P21" s="2"/>
      <c r="Q21" s="2"/>
      <c r="R21" s="2"/>
      <c r="S21" s="2"/>
      <c r="T21" s="2"/>
      <c r="U21" s="2"/>
      <c r="V21" s="2"/>
      <c r="W21" s="2"/>
      <c r="X21" s="2"/>
      <c r="Y21" s="2"/>
      <c r="Z21" s="2"/>
    </row>
    <row r="22" spans="1:26" ht="15.75" customHeight="1">
      <c r="A22" s="14"/>
      <c r="B22" s="43"/>
      <c r="C22" s="11">
        <v>2712000000</v>
      </c>
      <c r="D22" s="2"/>
      <c r="E22" s="2">
        <f t="shared" si="0"/>
      </c>
      <c r="F22" s="36">
        <f t="shared" si="1"/>
      </c>
      <c r="G22" s="2"/>
      <c r="H22" s="2"/>
      <c r="I22" s="2"/>
      <c r="J22" s="2"/>
      <c r="K22" s="2"/>
      <c r="L22" s="2"/>
      <c r="M22" s="2"/>
      <c r="N22" s="2"/>
      <c r="O22" s="2"/>
      <c r="P22" s="2"/>
      <c r="Q22" s="2"/>
      <c r="R22" s="2"/>
      <c r="S22" s="2"/>
      <c r="T22" s="2"/>
      <c r="U22" s="2"/>
      <c r="V22" s="2"/>
      <c r="W22" s="2"/>
      <c r="X22" s="2"/>
      <c r="Y22" s="2"/>
      <c r="Z22" s="2"/>
    </row>
    <row r="23" spans="1:26" ht="15.5">
      <c r="A23" s="14"/>
      <c r="B23" s="43"/>
      <c r="C23" s="11">
        <v>92641920000</v>
      </c>
      <c r="D23" s="2"/>
      <c r="E23" s="2">
        <f t="shared" si="0"/>
      </c>
      <c r="F23" s="36">
        <f t="shared" si="1"/>
      </c>
      <c r="G23" s="2"/>
      <c r="H23" s="2"/>
      <c r="I23" s="2"/>
      <c r="J23" s="2"/>
      <c r="K23" s="2"/>
      <c r="L23" s="2"/>
      <c r="M23" s="2"/>
      <c r="N23" s="2"/>
      <c r="O23" s="2"/>
      <c r="P23" s="2"/>
      <c r="Q23" s="2"/>
      <c r="R23" s="2"/>
      <c r="S23" s="2"/>
      <c r="T23" s="2"/>
      <c r="U23" s="2"/>
      <c r="V23" s="2"/>
      <c r="W23" s="2"/>
      <c r="X23" s="2"/>
      <c r="Y23" s="2"/>
      <c r="Z23" s="2"/>
    </row>
    <row r="24" spans="1:26" ht="15.5">
      <c r="A24" s="14"/>
      <c r="B24" s="45"/>
      <c r="C24" s="10">
        <v>180800000000</v>
      </c>
      <c r="D24" s="2"/>
      <c r="E24" s="2"/>
      <c r="F24" s="2"/>
      <c r="G24" s="2"/>
      <c r="H24" s="2"/>
      <c r="I24" s="2"/>
      <c r="J24" s="2"/>
      <c r="K24" s="2"/>
      <c r="L24" s="2"/>
      <c r="M24" s="2"/>
      <c r="N24" s="2"/>
      <c r="O24" s="2"/>
      <c r="P24" s="2"/>
      <c r="Q24" s="2"/>
      <c r="R24" s="2"/>
      <c r="S24" s="2"/>
      <c r="T24" s="2"/>
      <c r="U24" s="2"/>
      <c r="V24" s="2"/>
      <c r="W24" s="2"/>
      <c r="X24" s="2"/>
      <c r="Y24" s="2"/>
      <c r="Z24" s="2"/>
    </row>
    <row r="25" spans="1:26" ht="15.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5">
      <c r="A27" s="77"/>
      <c r="B27" s="73"/>
      <c r="C27" s="2"/>
      <c r="D27" s="2"/>
      <c r="E27" s="2"/>
      <c r="F27" s="2"/>
      <c r="G27" s="2"/>
      <c r="H27" s="2"/>
      <c r="I27" s="2"/>
      <c r="J27" s="2"/>
      <c r="K27" s="2"/>
      <c r="L27" s="2"/>
      <c r="M27" s="2"/>
      <c r="N27" s="2"/>
      <c r="O27" s="2"/>
      <c r="P27" s="2"/>
      <c r="Q27" s="2"/>
      <c r="R27" s="2"/>
      <c r="S27" s="2"/>
      <c r="T27" s="2"/>
      <c r="U27" s="2"/>
      <c r="V27" s="2"/>
      <c r="W27" s="2"/>
      <c r="X27" s="2"/>
      <c r="Y27" s="2"/>
      <c r="Z27" s="2"/>
    </row>
    <row r="28" spans="1:26" ht="15.5">
      <c r="A28" s="2"/>
      <c r="B28" s="46"/>
      <c r="C28" s="2"/>
      <c r="D28" s="2"/>
      <c r="E28" s="2"/>
      <c r="F28" s="2"/>
      <c r="G28" s="2"/>
      <c r="H28" s="2"/>
      <c r="I28" s="2"/>
      <c r="J28" s="2"/>
      <c r="K28" s="2"/>
      <c r="L28" s="2"/>
      <c r="M28" s="2"/>
      <c r="N28" s="2"/>
      <c r="O28" s="2"/>
      <c r="P28" s="2"/>
      <c r="Q28" s="2"/>
      <c r="R28" s="2"/>
      <c r="S28" s="2"/>
      <c r="T28" s="2"/>
      <c r="U28" s="2"/>
      <c r="V28" s="2"/>
      <c r="W28" s="2"/>
      <c r="X28" s="2"/>
      <c r="Y28" s="2"/>
      <c r="Z28" s="2"/>
    </row>
    <row r="29" spans="1:26" ht="15.5">
      <c r="A29" s="2"/>
      <c r="B29" s="46"/>
      <c r="C29" s="2"/>
      <c r="D29" s="2"/>
      <c r="E29" s="2"/>
      <c r="F29" s="2"/>
      <c r="G29" s="2"/>
      <c r="H29" s="2"/>
      <c r="I29" s="2"/>
      <c r="J29" s="2"/>
      <c r="K29" s="2"/>
      <c r="L29" s="2"/>
      <c r="M29" s="2"/>
      <c r="N29" s="2"/>
      <c r="O29" s="2"/>
      <c r="P29" s="2"/>
      <c r="Q29" s="2"/>
      <c r="R29" s="2"/>
      <c r="S29" s="2"/>
      <c r="T29" s="2"/>
      <c r="U29" s="2"/>
      <c r="V29" s="2"/>
      <c r="W29" s="2"/>
      <c r="X29" s="2"/>
      <c r="Y29" s="2"/>
      <c r="Z29" s="2"/>
    </row>
    <row r="30" spans="1:26" ht="15.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5">
      <c r="A33" s="77"/>
      <c r="B33" s="73"/>
      <c r="C33" s="2"/>
      <c r="D33" s="2"/>
      <c r="E33" s="2"/>
      <c r="F33" s="2"/>
      <c r="G33" s="2"/>
      <c r="H33" s="2"/>
      <c r="I33" s="2"/>
      <c r="J33" s="2"/>
      <c r="K33" s="2"/>
      <c r="L33" s="2"/>
      <c r="M33" s="2"/>
      <c r="N33" s="2"/>
      <c r="O33" s="2"/>
      <c r="P33" s="2"/>
      <c r="Q33" s="2"/>
      <c r="R33" s="2"/>
      <c r="S33" s="2"/>
      <c r="T33" s="2"/>
      <c r="U33" s="2"/>
      <c r="V33" s="2"/>
      <c r="W33" s="2"/>
      <c r="X33" s="2"/>
      <c r="Y33" s="2"/>
      <c r="Z33" s="2"/>
    </row>
    <row r="34" spans="1:26" ht="15.5">
      <c r="A34" s="2"/>
      <c r="B34" s="47"/>
      <c r="C34" s="2"/>
      <c r="D34" s="2"/>
      <c r="E34" s="2"/>
      <c r="F34" s="2"/>
      <c r="G34" s="2"/>
      <c r="H34" s="2"/>
      <c r="I34" s="2"/>
      <c r="J34" s="2"/>
      <c r="K34" s="2"/>
      <c r="L34" s="2"/>
      <c r="M34" s="2"/>
      <c r="N34" s="2"/>
      <c r="O34" s="2"/>
      <c r="P34" s="2"/>
      <c r="Q34" s="2"/>
      <c r="R34" s="2"/>
      <c r="S34" s="2"/>
      <c r="T34" s="2"/>
      <c r="U34" s="2"/>
      <c r="V34" s="2"/>
      <c r="W34" s="2"/>
      <c r="X34" s="2"/>
      <c r="Y34" s="2"/>
      <c r="Z34" s="2"/>
    </row>
    <row r="35" spans="1:26" ht="15.5">
      <c r="A35" s="2"/>
      <c r="B35" s="47"/>
      <c r="C35" s="2"/>
      <c r="D35" s="2"/>
      <c r="E35" s="2"/>
      <c r="F35" s="2"/>
      <c r="G35" s="2"/>
      <c r="H35" s="2"/>
      <c r="I35" s="2"/>
      <c r="J35" s="2"/>
      <c r="K35" s="2"/>
      <c r="L35" s="2"/>
      <c r="M35" s="2"/>
      <c r="N35" s="2"/>
      <c r="O35" s="2"/>
      <c r="P35" s="2"/>
      <c r="Q35" s="2"/>
      <c r="R35" s="2"/>
      <c r="S35" s="2"/>
      <c r="T35" s="2"/>
      <c r="U35" s="2"/>
      <c r="V35" s="2"/>
      <c r="W35" s="2"/>
      <c r="X35" s="2"/>
      <c r="Y35" s="2"/>
      <c r="Z35" s="2"/>
    </row>
    <row r="36" spans="1:26" ht="15.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5">
    <mergeCell ref="A1:F1"/>
    <mergeCell ref="A9:F9"/>
    <mergeCell ref="A11:C11"/>
    <mergeCell ref="A27:B27"/>
    <mergeCell ref="A33:B3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sheetViews>
    <sheetView topLeftCell="A10" workbookViewId="0">
      <selection activeCell="F14" sqref="F14"/>
    </sheetView>
  </sheetViews>
  <sheetFormatPr defaultColWidth="12.6328125" defaultRowHeight="15.75" customHeight="1"/>
  <cols>
    <col min="1" max="1" width="25.36328125" customWidth="1"/>
    <col min="2" max="2" width="32.6328125" customWidth="1"/>
    <col min="3" max="3" width="28.26953125" customWidth="1"/>
  </cols>
  <sheetData>
    <row r="1" spans="1:26" ht="15.75" customHeight="1">
      <c r="A1" t="s" s="72">
        <v>160</v>
      </c>
      <c r="B1" s="73"/>
      <c r="C1" s="73"/>
      <c r="D1" s="73"/>
      <c r="E1" s="73"/>
      <c r="F1" s="73"/>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t="s" s="74">
        <v>161</v>
      </c>
      <c r="B4" s="73"/>
      <c r="C4" s="73"/>
      <c r="D4" s="1"/>
      <c r="E4" s="1"/>
      <c r="F4" s="1"/>
      <c r="G4" s="1"/>
      <c r="H4" s="1"/>
      <c r="I4" s="1"/>
      <c r="J4" s="1"/>
      <c r="K4" s="1"/>
      <c r="L4" s="1"/>
      <c r="M4" s="1"/>
      <c r="N4" s="1"/>
      <c r="O4" s="1"/>
      <c r="P4" s="1"/>
      <c r="Q4" s="1"/>
      <c r="R4" s="1"/>
      <c r="S4" s="1"/>
      <c r="T4" s="1"/>
      <c r="U4" s="1"/>
      <c r="V4" s="1"/>
      <c r="W4" s="1"/>
      <c r="X4" s="1"/>
      <c r="Y4" s="1"/>
      <c r="Z4" s="1"/>
    </row>
    <row r="5" spans="1:26" ht="15.75" customHeight="1">
      <c r="A5" t="s" s="8">
        <v>162</v>
      </c>
      <c r="B5" t="s" s="8">
        <v>163</v>
      </c>
      <c r="C5" t="s" s="8">
        <v>164</v>
      </c>
      <c r="D5" s="1"/>
      <c r="E5" s="1"/>
      <c r="F5" s="1"/>
      <c r="G5" s="1"/>
      <c r="H5" s="1"/>
      <c r="I5" s="1"/>
      <c r="J5" s="1"/>
      <c r="K5" s="1"/>
      <c r="L5" s="1"/>
      <c r="M5" s="1"/>
      <c r="N5" s="1"/>
      <c r="O5" s="1"/>
      <c r="P5" s="1"/>
      <c r="Q5" s="1"/>
      <c r="R5" s="1"/>
      <c r="S5" s="1"/>
      <c r="T5" s="1"/>
      <c r="U5" s="1"/>
      <c r="V5" s="1"/>
      <c r="W5" s="1"/>
      <c r="X5" s="1"/>
      <c r="Y5" s="1"/>
      <c r="Z5" s="1"/>
    </row>
    <row r="6" spans="1:26" ht="15.75" customHeight="1">
      <c r="A6" t="s" s="14">
        <v>345</v>
      </c>
      <c r="B6" s="302">
        <v>0</v>
      </c>
      <c r="C6" s="313">
        <v>74800000000</v>
      </c>
      <c r="D6" s="1"/>
      <c r="E6" s="1"/>
      <c r="F6" s="1"/>
      <c r="G6" s="1"/>
      <c r="H6" s="1"/>
      <c r="I6" s="1"/>
      <c r="J6" s="1"/>
      <c r="K6" s="1"/>
      <c r="L6" s="1"/>
      <c r="M6" s="1"/>
      <c r="N6" s="1"/>
      <c r="O6" s="1"/>
      <c r="P6" s="1"/>
      <c r="Q6" s="1"/>
      <c r="R6" s="1"/>
      <c r="S6" s="1"/>
      <c r="T6" s="1"/>
      <c r="U6" s="1"/>
      <c r="V6" s="1"/>
      <c r="W6" s="1"/>
      <c r="X6" s="1"/>
      <c r="Y6" s="1"/>
      <c r="Z6" s="1"/>
    </row>
    <row r="7" spans="1:26" ht="15.75" customHeight="1">
      <c r="A7" t="s" s="14">
        <v>346</v>
      </c>
      <c r="B7" s="303">
        <v>5000000000</v>
      </c>
      <c r="C7" s="314">
        <v>45400000000</v>
      </c>
      <c r="D7" s="1"/>
      <c r="E7" s="1"/>
      <c r="F7" s="1"/>
      <c r="G7" s="1"/>
      <c r="H7" s="1"/>
      <c r="I7" s="1"/>
      <c r="J7" s="1"/>
      <c r="K7" s="1"/>
      <c r="L7" s="1"/>
      <c r="M7" s="1"/>
      <c r="N7" s="1"/>
      <c r="O7" s="1"/>
      <c r="P7" s="1"/>
      <c r="Q7" s="1"/>
      <c r="R7" s="1"/>
      <c r="S7" s="1"/>
      <c r="T7" s="1"/>
      <c r="U7" s="1"/>
      <c r="V7" s="1"/>
      <c r="W7" s="1"/>
      <c r="X7" s="1"/>
      <c r="Y7" s="1"/>
      <c r="Z7" s="1"/>
    </row>
    <row r="8" spans="1:26" ht="15.75" customHeight="1">
      <c r="A8" t="s" s="14">
        <v>347</v>
      </c>
      <c r="B8" s="304">
        <v>10000000000</v>
      </c>
      <c r="C8" s="315">
        <v>32200000000</v>
      </c>
      <c r="D8" s="1"/>
      <c r="E8" s="1"/>
      <c r="F8" s="1"/>
      <c r="G8" s="1"/>
      <c r="H8" s="1"/>
      <c r="I8" s="1"/>
      <c r="J8" s="1"/>
      <c r="K8" s="1"/>
      <c r="L8" s="1"/>
      <c r="M8" s="1"/>
      <c r="N8" s="1"/>
      <c r="O8" s="1"/>
      <c r="P8" s="1"/>
      <c r="Q8" s="1"/>
      <c r="R8" s="1"/>
      <c r="S8" s="1"/>
      <c r="T8" s="1"/>
      <c r="U8" s="1"/>
      <c r="V8" s="1"/>
      <c r="W8" s="1"/>
      <c r="X8" s="1"/>
      <c r="Y8" s="1"/>
      <c r="Z8" s="1"/>
    </row>
    <row r="9" spans="1:26" ht="15.75" customHeight="1">
      <c r="A9" t="s" s="14">
        <v>348</v>
      </c>
      <c r="B9" s="305">
        <v>0</v>
      </c>
      <c r="C9" s="316">
        <v>16200000000</v>
      </c>
      <c r="D9" s="1"/>
      <c r="E9" s="1"/>
      <c r="F9" s="1"/>
      <c r="G9" s="1"/>
      <c r="H9" s="1"/>
      <c r="I9" s="1"/>
      <c r="J9" s="1"/>
      <c r="K9" s="1"/>
      <c r="L9" s="1"/>
      <c r="M9" s="1"/>
      <c r="N9" s="1"/>
      <c r="O9" s="1"/>
      <c r="P9" s="1"/>
      <c r="Q9" s="1"/>
      <c r="R9" s="1"/>
      <c r="S9" s="1"/>
      <c r="T9" s="1"/>
      <c r="U9" s="1"/>
      <c r="V9" s="1"/>
      <c r="W9" s="1"/>
      <c r="X9" s="1"/>
      <c r="Y9" s="1"/>
      <c r="Z9" s="1"/>
    </row>
    <row r="10" spans="1:26" ht="15.75" customHeight="1">
      <c r="A10" t="s" s="14">
        <v>349</v>
      </c>
      <c r="B10" s="306">
        <v>11000000000</v>
      </c>
      <c r="C10" s="317">
        <v>2400000000</v>
      </c>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t="s" s="14">
        <v>350</v>
      </c>
      <c r="B11" s="307">
        <v>0</v>
      </c>
      <c r="C11" s="318">
        <v>12400000000</v>
      </c>
      <c r="D11" s="1"/>
      <c r="E11" s="1"/>
      <c r="F11" s="8"/>
      <c r="G11" s="1"/>
      <c r="H11" s="1"/>
      <c r="I11" s="1"/>
      <c r="J11" s="1"/>
      <c r="K11" s="1"/>
      <c r="L11" s="1"/>
      <c r="M11" s="1"/>
      <c r="N11" s="1"/>
      <c r="O11" s="1"/>
      <c r="P11" s="1"/>
      <c r="Q11" s="1"/>
      <c r="R11" s="1"/>
      <c r="S11" s="1"/>
      <c r="T11" s="1"/>
      <c r="U11" s="1"/>
      <c r="V11" s="1"/>
      <c r="W11" s="1"/>
      <c r="X11" s="1"/>
      <c r="Y11" s="1"/>
      <c r="Z11" s="1"/>
    </row>
    <row r="12" spans="1:26" ht="15.75" customHeight="1">
      <c r="A12" t="s" s="14">
        <v>351</v>
      </c>
      <c r="B12" s="308">
        <v>0</v>
      </c>
      <c r="C12" s="319">
        <v>9300000000</v>
      </c>
      <c r="D12" s="1"/>
      <c r="E12" s="1"/>
      <c r="F12" s="8"/>
      <c r="G12" s="1"/>
      <c r="H12" s="1"/>
      <c r="I12" s="1"/>
      <c r="J12" s="1"/>
      <c r="K12" s="1"/>
      <c r="L12" s="1"/>
      <c r="M12" s="1"/>
      <c r="N12" s="1"/>
      <c r="O12" s="1"/>
      <c r="P12" s="1"/>
      <c r="Q12" s="1"/>
      <c r="R12" s="1"/>
      <c r="S12" s="1"/>
      <c r="T12" s="1"/>
      <c r="U12" s="1"/>
      <c r="V12" s="1"/>
      <c r="W12" s="1"/>
      <c r="X12" s="1"/>
      <c r="Y12" s="1"/>
      <c r="Z12" s="1"/>
    </row>
    <row r="13" spans="1:26" ht="15.75" customHeight="1">
      <c r="A13" t="s" s="14">
        <v>352</v>
      </c>
      <c r="B13" s="309">
        <v>8800000000</v>
      </c>
      <c r="C13" s="320">
        <v>0</v>
      </c>
      <c r="D13" s="1"/>
      <c r="E13" s="1"/>
      <c r="F13" s="8"/>
      <c r="G13" s="1"/>
      <c r="H13" s="1"/>
      <c r="I13" s="1"/>
      <c r="J13" s="1"/>
      <c r="K13" s="1"/>
      <c r="L13" s="1"/>
      <c r="M13" s="1"/>
      <c r="N13" s="1"/>
      <c r="O13" s="1"/>
      <c r="P13" s="1"/>
      <c r="Q13" s="1"/>
      <c r="R13" s="1"/>
      <c r="S13" s="1"/>
      <c r="T13" s="1"/>
      <c r="U13" s="1"/>
      <c r="V13" s="1"/>
      <c r="W13" s="1"/>
      <c r="X13" s="1"/>
      <c r="Y13" s="1"/>
      <c r="Z13" s="1"/>
    </row>
    <row r="14" spans="1:26" ht="15.75" customHeight="1">
      <c r="A14" t="s" s="14">
        <v>353</v>
      </c>
      <c r="B14" s="310">
        <v>2000000000</v>
      </c>
      <c r="C14" s="321">
        <v>5200000000</v>
      </c>
      <c r="D14" s="1"/>
      <c r="E14" s="1"/>
      <c r="F14" s="8"/>
      <c r="G14" s="1"/>
      <c r="H14" s="1"/>
      <c r="I14" s="1"/>
      <c r="J14" s="1"/>
      <c r="K14" s="1"/>
      <c r="L14" s="1"/>
      <c r="M14" s="1"/>
      <c r="N14" s="1"/>
      <c r="O14" s="1"/>
      <c r="P14" s="1"/>
      <c r="Q14" s="1"/>
      <c r="R14" s="1"/>
      <c r="S14" s="1"/>
      <c r="T14" s="1"/>
      <c r="U14" s="1"/>
      <c r="V14" s="1"/>
      <c r="W14" s="1"/>
      <c r="X14" s="1"/>
      <c r="Y14" s="1"/>
      <c r="Z14" s="1"/>
    </row>
    <row r="15" spans="1:26" ht="15.75" customHeight="1">
      <c r="A15" t="s" s="14">
        <v>354</v>
      </c>
      <c r="B15" s="311">
        <v>7000000000</v>
      </c>
      <c r="C15" s="322">
        <v>0</v>
      </c>
      <c r="D15" s="1"/>
      <c r="E15" s="1"/>
      <c r="F15" s="8"/>
      <c r="G15" s="1"/>
      <c r="H15" s="1"/>
      <c r="I15" s="1"/>
      <c r="J15" s="1"/>
      <c r="K15" s="1"/>
      <c r="L15" s="1"/>
      <c r="M15" s="1"/>
      <c r="N15" s="1"/>
      <c r="O15" s="1"/>
      <c r="P15" s="1"/>
      <c r="Q15" s="1"/>
      <c r="R15" s="1"/>
      <c r="S15" s="1"/>
      <c r="T15" s="1"/>
      <c r="U15" s="1"/>
      <c r="V15" s="1"/>
      <c r="W15" s="1"/>
      <c r="X15" s="1"/>
      <c r="Y15" s="1"/>
      <c r="Z15" s="1"/>
    </row>
    <row r="16" spans="1:26" ht="15.75" customHeight="1">
      <c r="A16" t="s" s="14">
        <v>118</v>
      </c>
      <c r="B16" s="312">
        <v>43800000000</v>
      </c>
      <c r="C16" s="323">
        <v>197900000000</v>
      </c>
      <c r="D16" s="9"/>
      <c r="E16" s="9"/>
      <c r="F16" s="8"/>
      <c r="G16" s="9"/>
      <c r="H16" s="9"/>
      <c r="I16" s="9"/>
      <c r="J16" s="9"/>
      <c r="K16" s="9"/>
      <c r="L16" s="9"/>
      <c r="M16" s="9"/>
      <c r="N16" s="9"/>
      <c r="O16" s="9"/>
      <c r="P16" s="9"/>
      <c r="Q16" s="9"/>
      <c r="R16" s="9"/>
      <c r="S16" s="9"/>
      <c r="T16" s="9"/>
      <c r="U16" s="9"/>
      <c r="V16" s="9"/>
      <c r="W16" s="9"/>
      <c r="X16" s="9"/>
      <c r="Y16" s="9"/>
      <c r="Z16" s="9"/>
    </row>
    <row r="17" spans="1:26" ht="15.75" customHeight="1">
      <c r="A17" s="1"/>
      <c r="B17" s="1"/>
      <c r="C17" s="1"/>
      <c r="D17" s="1"/>
      <c r="E17" s="1"/>
      <c r="F17" s="8"/>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A1:F1"/>
    <mergeCell ref="A4:C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sheetViews>
    <sheetView workbookViewId="0">
      <selection activeCell="A13" sqref="A13:C16"/>
    </sheetView>
  </sheetViews>
  <sheetFormatPr defaultColWidth="12.6328125" defaultRowHeight="15.75" customHeight="1"/>
  <cols>
    <col min="1" max="1" width="23.08984375" customWidth="1"/>
    <col min="2" max="2" width="19.26953125" customWidth="1"/>
    <col min="3" max="3" width="20.90625" customWidth="1"/>
  </cols>
  <sheetData>
    <row r="1" spans="1:26" ht="15.75" customHeight="1">
      <c r="A1" t="s" s="72">
        <v>175</v>
      </c>
      <c r="B1" s="73"/>
      <c r="C1" s="73"/>
      <c r="D1" s="73"/>
      <c r="E1" s="73"/>
      <c r="F1" s="73"/>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t="s" s="76">
        <v>176</v>
      </c>
      <c r="B3" s="73"/>
      <c r="C3" s="2"/>
      <c r="D3" s="2"/>
      <c r="E3" s="2"/>
      <c r="F3" s="2"/>
      <c r="G3" s="2"/>
      <c r="H3" s="2"/>
      <c r="I3" s="2"/>
      <c r="J3" s="2"/>
      <c r="K3" s="2"/>
      <c r="L3" s="2"/>
      <c r="M3" s="2"/>
      <c r="N3" s="2"/>
      <c r="O3" s="2"/>
      <c r="P3" s="2"/>
      <c r="Q3" s="2"/>
      <c r="R3" s="2"/>
      <c r="S3" s="2"/>
      <c r="T3" s="2"/>
      <c r="U3" s="2"/>
      <c r="V3" s="2"/>
      <c r="W3" s="2"/>
      <c r="X3" s="2"/>
      <c r="Y3" s="2"/>
      <c r="Z3" s="2"/>
    </row>
    <row r="4" spans="1:26" ht="15.75" customHeight="1">
      <c r="A4" t="s" s="8">
        <v>177</v>
      </c>
      <c r="B4" t="s" s="8">
        <v>115</v>
      </c>
      <c r="C4" s="2"/>
      <c r="D4" s="2"/>
      <c r="E4" s="2"/>
      <c r="F4" s="2"/>
      <c r="G4" s="2"/>
      <c r="H4" s="2"/>
      <c r="I4" s="2"/>
      <c r="J4" s="2"/>
      <c r="K4" s="2"/>
      <c r="L4" s="2"/>
      <c r="M4" s="2"/>
      <c r="N4" s="2"/>
      <c r="O4" s="2"/>
      <c r="P4" s="2"/>
      <c r="Q4" s="2"/>
      <c r="R4" s="2"/>
      <c r="S4" s="2"/>
      <c r="T4" s="2"/>
      <c r="U4" s="2"/>
      <c r="V4" s="2"/>
      <c r="W4" s="2"/>
      <c r="X4" s="2"/>
      <c r="Y4" s="2"/>
      <c r="Z4" s="2"/>
    </row>
    <row r="5" spans="1:26" ht="15.75" customHeight="1">
      <c r="A5" t="s" s="14">
        <v>178</v>
      </c>
      <c r="B5" s="324">
        <v>0.59</v>
      </c>
      <c r="C5" s="2"/>
      <c r="D5" s="2"/>
      <c r="E5" s="2"/>
      <c r="F5" s="2"/>
      <c r="G5" s="2"/>
      <c r="H5" s="2"/>
      <c r="I5" s="2"/>
      <c r="J5" s="2"/>
      <c r="K5" s="2"/>
      <c r="L5" s="2"/>
      <c r="M5" s="2"/>
      <c r="N5" s="2"/>
      <c r="O5" s="2"/>
      <c r="P5" s="2"/>
      <c r="Q5" s="2"/>
      <c r="R5" s="2"/>
      <c r="S5" s="2"/>
      <c r="T5" s="2"/>
      <c r="U5" s="2"/>
      <c r="V5" s="2"/>
      <c r="W5" s="2"/>
      <c r="X5" s="2"/>
      <c r="Y5" s="2"/>
      <c r="Z5" s="2"/>
    </row>
    <row r="6" spans="1:26" ht="15.75" customHeight="1">
      <c r="A6" t="s" s="14">
        <v>179</v>
      </c>
      <c r="B6" s="325">
        <v>0.41</v>
      </c>
      <c r="C6" s="2"/>
      <c r="D6" s="2"/>
      <c r="E6" s="2"/>
      <c r="F6" s="2"/>
      <c r="G6" s="2"/>
      <c r="H6" s="2"/>
      <c r="I6" s="2"/>
      <c r="J6" s="2"/>
      <c r="K6" s="2"/>
      <c r="L6" s="2"/>
      <c r="M6" s="2"/>
      <c r="N6" s="2"/>
      <c r="O6" s="2"/>
      <c r="P6" s="2"/>
      <c r="Q6" s="2"/>
      <c r="R6" s="2"/>
      <c r="S6" s="2"/>
      <c r="T6" s="2"/>
      <c r="U6" s="2"/>
      <c r="V6" s="2"/>
      <c r="W6" s="2"/>
      <c r="X6" s="2"/>
      <c r="Y6" s="2"/>
      <c r="Z6" s="2"/>
    </row>
    <row r="7" spans="1:26" ht="15.75" customHeight="1">
      <c r="A7" t="s" s="14">
        <v>118</v>
      </c>
      <c r="B7" s="326">
        <v>1</v>
      </c>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72"/>
      <c r="B10" s="73"/>
      <c r="C10" s="73"/>
      <c r="D10" s="73"/>
      <c r="E10" s="73"/>
      <c r="F10" s="73"/>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76"/>
      <c r="B12" s="73"/>
      <c r="C12" s="73"/>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17"/>
      <c r="B13" s="18"/>
      <c r="C13" s="18"/>
      <c r="D13" s="9"/>
      <c r="E13" s="2"/>
      <c r="F13" s="8"/>
      <c r="G13" s="8"/>
      <c r="H13" s="8"/>
      <c r="I13" s="2"/>
      <c r="J13" s="2"/>
      <c r="K13" s="2"/>
      <c r="L13" s="2"/>
      <c r="M13" s="2"/>
      <c r="N13" s="2"/>
      <c r="O13" s="2"/>
      <c r="P13" s="2"/>
      <c r="Q13" s="2"/>
      <c r="R13" s="2"/>
      <c r="S13" s="2"/>
      <c r="T13" s="2"/>
      <c r="U13" s="2"/>
      <c r="V13" s="2"/>
      <c r="W13" s="2"/>
      <c r="X13" s="2"/>
      <c r="Y13" s="2"/>
      <c r="Z13" s="2"/>
    </row>
    <row r="14" spans="1:26" ht="15.75" customHeight="1">
      <c r="A14" s="1"/>
      <c r="B14" s="13"/>
      <c r="C14" s="13"/>
      <c r="D14" s="1"/>
      <c r="E14" s="2"/>
      <c r="F14" s="14"/>
      <c r="G14" s="11"/>
      <c r="H14" s="11"/>
      <c r="I14" s="2"/>
      <c r="J14" s="2"/>
      <c r="K14" s="2"/>
      <c r="L14" s="2"/>
      <c r="M14" s="2"/>
      <c r="N14" s="2"/>
      <c r="O14" s="2"/>
      <c r="P14" s="2"/>
      <c r="Q14" s="2"/>
      <c r="R14" s="2"/>
      <c r="S14" s="2"/>
      <c r="T14" s="2"/>
      <c r="U14" s="2"/>
      <c r="V14" s="2"/>
      <c r="W14" s="2"/>
      <c r="X14" s="2"/>
      <c r="Y14" s="2"/>
      <c r="Z14" s="2"/>
    </row>
    <row r="15" spans="1:26" ht="15.75" customHeight="1">
      <c r="A15" s="1"/>
      <c r="B15" s="13"/>
      <c r="C15" s="13"/>
      <c r="D15" s="1"/>
      <c r="E15" s="2"/>
      <c r="F15" s="14"/>
      <c r="G15" s="11"/>
      <c r="H15" s="11"/>
      <c r="I15" s="2"/>
      <c r="J15" s="2"/>
      <c r="K15" s="2"/>
      <c r="L15" s="2"/>
      <c r="M15" s="2"/>
      <c r="N15" s="2"/>
      <c r="O15" s="2"/>
      <c r="P15" s="2"/>
      <c r="Q15" s="2"/>
      <c r="R15" s="2"/>
      <c r="S15" s="2"/>
      <c r="T15" s="2"/>
      <c r="U15" s="2"/>
      <c r="V15" s="2"/>
      <c r="W15" s="2"/>
      <c r="X15" s="2"/>
      <c r="Y15" s="2"/>
      <c r="Z15" s="2"/>
    </row>
    <row r="16" spans="1:26" ht="15.75" customHeight="1">
      <c r="A16" s="1"/>
      <c r="B16" s="13"/>
      <c r="C16" s="13"/>
      <c r="D16" s="1"/>
      <c r="E16" s="2"/>
      <c r="F16" s="14"/>
      <c r="G16" s="11"/>
      <c r="H16" s="11"/>
      <c r="I16" s="2"/>
      <c r="J16" s="2"/>
      <c r="K16" s="2"/>
      <c r="L16" s="2"/>
      <c r="M16" s="2"/>
      <c r="N16" s="2"/>
      <c r="O16" s="2"/>
      <c r="P16" s="2"/>
      <c r="Q16" s="2"/>
      <c r="R16" s="2"/>
      <c r="S16" s="2"/>
      <c r="T16" s="2"/>
      <c r="U16" s="2"/>
      <c r="V16" s="2"/>
      <c r="W16" s="2"/>
      <c r="X16" s="2"/>
      <c r="Y16" s="2"/>
      <c r="Z16" s="2"/>
    </row>
    <row r="17" spans="1:26" ht="15.75" customHeight="1">
      <c r="A17" s="1"/>
      <c r="B17" s="48"/>
      <c r="C17" s="48"/>
      <c r="D17" s="1"/>
      <c r="E17" s="2"/>
      <c r="F17" s="14"/>
      <c r="G17" s="10"/>
      <c r="H17" s="10"/>
      <c r="I17" s="2"/>
      <c r="J17" s="2"/>
      <c r="K17" s="2"/>
      <c r="L17" s="2"/>
      <c r="M17" s="2"/>
      <c r="N17" s="2"/>
      <c r="O17" s="2"/>
      <c r="P17" s="2"/>
      <c r="Q17" s="2"/>
      <c r="R17" s="2"/>
      <c r="S17" s="2"/>
      <c r="T17" s="2"/>
      <c r="U17" s="2"/>
      <c r="V17" s="2"/>
      <c r="W17" s="2"/>
      <c r="X17" s="2"/>
      <c r="Y17" s="2"/>
      <c r="Z17" s="2"/>
    </row>
    <row r="18" spans="1:26" ht="15.75" customHeight="1">
      <c r="A18" s="14"/>
      <c r="B18" s="10"/>
      <c r="C18" s="10"/>
      <c r="D18" s="1"/>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4">
    <mergeCell ref="A1:F1"/>
    <mergeCell ref="A3:B3"/>
    <mergeCell ref="A10:F10"/>
    <mergeCell ref="A12:C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sheetViews>
    <sheetView workbookViewId="0">
      <selection activeCell="F21" sqref="F21"/>
    </sheetView>
  </sheetViews>
  <sheetFormatPr defaultColWidth="12.6328125" defaultRowHeight="15.75" customHeight="1"/>
  <cols>
    <col min="1" max="1" width="25.90625" customWidth="1"/>
    <col min="2" max="2" width="18.36328125" customWidth="1"/>
  </cols>
  <sheetData>
    <row r="1" spans="1:26" ht="15.75" customHeight="1">
      <c r="A1" t="s" s="72">
        <v>184</v>
      </c>
      <c r="B1" s="73"/>
      <c r="C1" s="73"/>
      <c r="D1" s="73"/>
      <c r="E1" s="73"/>
      <c r="F1" s="73"/>
      <c r="G1" s="49"/>
      <c r="H1" s="49"/>
      <c r="I1" s="49"/>
      <c r="J1" s="49"/>
      <c r="K1" s="49"/>
      <c r="L1" s="49"/>
      <c r="M1" s="49"/>
      <c r="N1" s="49"/>
      <c r="O1" s="49"/>
      <c r="P1" s="49"/>
      <c r="Q1" s="49"/>
      <c r="R1" s="49"/>
      <c r="S1" s="49"/>
      <c r="T1" s="49"/>
      <c r="U1" s="49"/>
      <c r="V1" s="49"/>
      <c r="W1" s="49"/>
      <c r="X1" s="49"/>
      <c r="Y1" s="49"/>
      <c r="Z1" s="49"/>
    </row>
    <row r="2" spans="1:26" ht="15.75" customHeight="1">
      <c r="A2" s="49"/>
      <c r="B2" s="49"/>
      <c r="C2" s="49"/>
      <c r="D2" s="49"/>
      <c r="E2" s="49"/>
      <c r="F2" s="49"/>
      <c r="G2" s="49"/>
      <c r="H2" s="49"/>
      <c r="I2" s="49"/>
      <c r="J2" s="49"/>
      <c r="K2" s="49"/>
      <c r="L2" s="49"/>
      <c r="M2" s="49"/>
      <c r="N2" s="49"/>
      <c r="O2" s="49"/>
      <c r="P2" s="49"/>
      <c r="Q2" s="49"/>
      <c r="R2" s="49"/>
      <c r="S2" s="49"/>
      <c r="T2" s="49"/>
      <c r="U2" s="49"/>
      <c r="V2" s="49"/>
      <c r="W2" s="49"/>
      <c r="X2" s="49"/>
      <c r="Y2" s="49"/>
      <c r="Z2" s="49"/>
    </row>
    <row r="3" spans="1:26" ht="15.75" customHeight="1">
      <c r="A3" s="49"/>
      <c r="B3" s="49"/>
      <c r="C3" s="49"/>
      <c r="D3" s="49"/>
      <c r="E3" s="49"/>
      <c r="F3" s="49"/>
      <c r="G3" s="49"/>
      <c r="H3" s="49"/>
      <c r="I3" s="49"/>
      <c r="J3" s="49"/>
      <c r="K3" s="49"/>
      <c r="L3" s="49"/>
      <c r="M3" s="49"/>
      <c r="N3" s="49"/>
      <c r="O3" s="49"/>
      <c r="P3" s="49"/>
      <c r="Q3" s="49"/>
      <c r="R3" s="49"/>
      <c r="S3" s="49"/>
      <c r="T3" s="49"/>
      <c r="U3" s="49"/>
      <c r="V3" s="49"/>
      <c r="W3" s="49"/>
      <c r="X3" s="49"/>
      <c r="Y3" s="49"/>
      <c r="Z3" s="49"/>
    </row>
    <row r="4" spans="1:26" ht="15.75" customHeight="1">
      <c r="A4" t="s" s="78">
        <v>185</v>
      </c>
      <c r="B4" s="73"/>
      <c r="C4" s="49"/>
      <c r="D4" s="49"/>
      <c r="E4" s="49"/>
      <c r="F4" s="49"/>
      <c r="G4" s="49"/>
      <c r="H4" s="49"/>
      <c r="I4" s="49"/>
      <c r="J4" s="49"/>
      <c r="K4" s="49"/>
      <c r="L4" s="49"/>
      <c r="M4" s="49"/>
      <c r="N4" s="49"/>
      <c r="O4" s="49"/>
      <c r="P4" s="49"/>
      <c r="Q4" s="49"/>
      <c r="R4" s="49"/>
      <c r="S4" s="49"/>
      <c r="T4" s="49"/>
      <c r="U4" s="49"/>
      <c r="V4" s="49"/>
      <c r="W4" s="49"/>
      <c r="X4" s="49"/>
      <c r="Y4" s="49"/>
      <c r="Z4" s="49"/>
    </row>
    <row r="5" spans="1:26" ht="15.75" customHeight="1">
      <c r="A5" t="s" s="50">
        <v>186</v>
      </c>
      <c r="B5" t="s" s="51">
        <v>187</v>
      </c>
      <c r="C5" s="49"/>
      <c r="D5" s="49"/>
      <c r="E5" s="49"/>
      <c r="F5" s="5"/>
      <c r="G5" s="5"/>
      <c r="H5" s="49"/>
      <c r="I5" s="49"/>
      <c r="J5" s="49"/>
      <c r="K5" s="49"/>
      <c r="L5" s="49"/>
      <c r="M5" s="49"/>
      <c r="N5" s="49"/>
      <c r="O5" s="49"/>
      <c r="P5" s="49"/>
      <c r="Q5" s="49"/>
      <c r="R5" s="49"/>
      <c r="S5" s="49"/>
      <c r="T5" s="49"/>
      <c r="U5" s="49"/>
      <c r="V5" s="49"/>
      <c r="W5" s="49"/>
      <c r="X5" s="49"/>
      <c r="Y5" s="49"/>
      <c r="Z5" s="49"/>
    </row>
    <row r="6" spans="1:26" ht="15.75" customHeight="1">
      <c r="A6" t="s" s="49">
        <v>188</v>
      </c>
      <c r="B6" s="327">
        <v>0.508</v>
      </c>
      <c r="C6" s="49"/>
      <c r="D6" s="49"/>
      <c r="E6" s="49"/>
      <c r="F6" s="5"/>
      <c r="G6" s="53"/>
      <c r="H6" s="49"/>
      <c r="I6" s="49"/>
      <c r="J6" s="49"/>
      <c r="K6" s="49"/>
      <c r="L6" s="49"/>
      <c r="M6" s="49"/>
      <c r="N6" s="49"/>
      <c r="O6" s="49"/>
      <c r="P6" s="49"/>
      <c r="Q6" s="49"/>
      <c r="R6" s="49"/>
      <c r="S6" s="49"/>
      <c r="T6" s="49"/>
      <c r="U6" s="49"/>
      <c r="V6" s="49"/>
      <c r="W6" s="49"/>
      <c r="X6" s="49"/>
      <c r="Y6" s="49"/>
      <c r="Z6" s="49"/>
    </row>
    <row r="7" spans="1:26" ht="15.75" customHeight="1">
      <c r="A7" t="s" s="49">
        <v>355</v>
      </c>
      <c r="B7" s="328">
        <v>0.423</v>
      </c>
      <c r="C7" s="49"/>
      <c r="D7" s="49"/>
      <c r="E7" s="49"/>
      <c r="F7" s="5"/>
      <c r="G7" s="53"/>
      <c r="H7" s="49"/>
      <c r="I7" s="49"/>
      <c r="J7" s="49"/>
      <c r="K7" s="49"/>
      <c r="L7" s="49"/>
      <c r="M7" s="49"/>
      <c r="N7" s="49"/>
      <c r="O7" s="49"/>
      <c r="P7" s="49"/>
      <c r="Q7" s="49"/>
      <c r="R7" s="49"/>
      <c r="S7" s="49"/>
      <c r="T7" s="49"/>
      <c r="U7" s="49"/>
      <c r="V7" s="49"/>
      <c r="W7" s="49"/>
      <c r="X7" s="49"/>
      <c r="Y7" s="49"/>
      <c r="Z7" s="49"/>
    </row>
    <row r="8" spans="1:26" ht="15.75" customHeight="1">
      <c r="A8" t="s" s="49">
        <v>356</v>
      </c>
      <c r="B8" s="329">
        <v>0.036</v>
      </c>
      <c r="C8" s="49"/>
      <c r="D8" s="49"/>
      <c r="E8" s="49"/>
      <c r="F8" s="5"/>
      <c r="G8" s="53"/>
      <c r="H8" s="49"/>
      <c r="I8" s="49"/>
      <c r="J8" s="49"/>
      <c r="K8" s="49"/>
      <c r="L8" s="49"/>
      <c r="M8" s="49"/>
      <c r="N8" s="49"/>
      <c r="O8" s="49"/>
      <c r="P8" s="49"/>
      <c r="Q8" s="49"/>
      <c r="R8" s="49"/>
      <c r="S8" s="49"/>
      <c r="T8" s="49"/>
      <c r="U8" s="49"/>
      <c r="V8" s="49"/>
      <c r="W8" s="49"/>
      <c r="X8" s="49"/>
      <c r="Y8" s="49"/>
      <c r="Z8" s="49"/>
    </row>
    <row r="9" spans="1:26" ht="15.75" customHeight="1">
      <c r="A9" t="s" s="49">
        <v>357</v>
      </c>
      <c r="B9" s="330">
        <v>0.008</v>
      </c>
      <c r="C9" s="49"/>
      <c r="D9" s="49"/>
      <c r="E9" s="49"/>
      <c r="F9" s="5"/>
      <c r="G9" s="53"/>
      <c r="H9" s="49"/>
      <c r="I9" s="49"/>
      <c r="J9" s="49"/>
      <c r="K9" s="49"/>
      <c r="L9" s="49"/>
      <c r="M9" s="49"/>
      <c r="N9" s="49"/>
      <c r="O9" s="49"/>
      <c r="P9" s="49"/>
      <c r="Q9" s="49"/>
      <c r="R9" s="49"/>
      <c r="S9" s="49"/>
      <c r="T9" s="49"/>
      <c r="U9" s="49"/>
      <c r="V9" s="49"/>
      <c r="W9" s="49"/>
      <c r="X9" s="49"/>
      <c r="Y9" s="49"/>
      <c r="Z9" s="49"/>
    </row>
    <row r="10" spans="1:26" ht="15.75" customHeight="1">
      <c r="A10" t="s" s="49">
        <v>358</v>
      </c>
      <c r="B10" s="331">
        <v>0.007</v>
      </c>
      <c r="C10" s="49"/>
      <c r="D10" s="49"/>
      <c r="E10" s="49"/>
      <c r="F10" s="5"/>
      <c r="G10" s="53"/>
      <c r="H10" s="49"/>
      <c r="I10" s="49"/>
      <c r="J10" s="49"/>
      <c r="K10" s="49"/>
      <c r="L10" s="49"/>
      <c r="M10" s="49"/>
      <c r="N10" s="49"/>
      <c r="O10" s="49"/>
      <c r="P10" s="49"/>
      <c r="Q10" s="49"/>
      <c r="R10" s="49"/>
      <c r="S10" s="49"/>
      <c r="T10" s="49"/>
      <c r="U10" s="49"/>
      <c r="V10" s="49"/>
      <c r="W10" s="49"/>
      <c r="X10" s="49"/>
      <c r="Y10" s="49"/>
      <c r="Z10" s="49"/>
    </row>
    <row r="11" spans="1:26" ht="15.75" customHeight="1">
      <c r="A11" t="s" s="49">
        <v>359</v>
      </c>
      <c r="B11" s="332">
        <v>0.004</v>
      </c>
      <c r="C11" s="49"/>
      <c r="D11" s="49"/>
      <c r="E11" s="49"/>
      <c r="F11" s="5"/>
      <c r="G11" s="53"/>
      <c r="H11" s="49"/>
      <c r="I11" s="49"/>
      <c r="J11" s="49"/>
      <c r="K11" s="49"/>
      <c r="L11" s="49"/>
      <c r="M11" s="49"/>
      <c r="N11" s="49"/>
      <c r="O11" s="49"/>
      <c r="P11" s="49"/>
      <c r="Q11" s="49"/>
      <c r="R11" s="49"/>
      <c r="S11" s="49"/>
      <c r="T11" s="49"/>
      <c r="U11" s="49"/>
      <c r="V11" s="49"/>
      <c r="W11" s="49"/>
      <c r="X11" s="49"/>
      <c r="Y11" s="49"/>
      <c r="Z11" s="49"/>
    </row>
    <row r="12" spans="1:26" ht="15.75" customHeight="1">
      <c r="A12" s="49"/>
      <c r="B12" s="52"/>
      <c r="C12" s="49"/>
      <c r="D12" s="49"/>
      <c r="E12" s="49"/>
      <c r="F12" s="5"/>
      <c r="G12" s="53"/>
      <c r="H12" s="49"/>
      <c r="I12" s="49"/>
      <c r="J12" s="49"/>
      <c r="K12" s="49"/>
      <c r="L12" s="49"/>
      <c r="M12" s="49"/>
      <c r="N12" s="49"/>
      <c r="O12" s="49"/>
      <c r="P12" s="49"/>
      <c r="Q12" s="49"/>
      <c r="R12" s="49"/>
      <c r="S12" s="49"/>
      <c r="T12" s="49"/>
      <c r="U12" s="49"/>
      <c r="V12" s="49"/>
      <c r="W12" s="49"/>
      <c r="X12" s="49"/>
      <c r="Y12" s="49"/>
      <c r="Z12" s="49"/>
    </row>
    <row r="13" spans="1:26" ht="15.75" customHeight="1">
      <c r="A13" s="49"/>
      <c r="B13" s="52"/>
      <c r="C13" s="49"/>
      <c r="D13" s="49"/>
      <c r="E13" s="49"/>
      <c r="F13" s="5"/>
      <c r="G13" s="53"/>
      <c r="H13" s="49"/>
      <c r="I13" s="49"/>
      <c r="J13" s="49"/>
      <c r="K13" s="49"/>
      <c r="L13" s="49"/>
      <c r="M13" s="49"/>
      <c r="N13" s="49"/>
      <c r="O13" s="49"/>
      <c r="P13" s="49"/>
      <c r="Q13" s="49"/>
      <c r="R13" s="49"/>
      <c r="S13" s="49"/>
      <c r="T13" s="49"/>
      <c r="U13" s="49"/>
      <c r="V13" s="49"/>
      <c r="W13" s="49"/>
      <c r="X13" s="49"/>
      <c r="Y13" s="49"/>
      <c r="Z13" s="49"/>
    </row>
    <row r="14" spans="1:26" ht="15.75" customHeight="1">
      <c r="A14" s="49"/>
      <c r="B14" s="52"/>
      <c r="C14" s="49"/>
      <c r="D14" s="49"/>
      <c r="E14" s="49"/>
      <c r="F14" s="5"/>
      <c r="G14" s="53"/>
      <c r="H14" s="49"/>
      <c r="I14" s="49"/>
      <c r="J14" s="49"/>
      <c r="K14" s="49"/>
      <c r="L14" s="49"/>
      <c r="M14" s="49"/>
      <c r="N14" s="49"/>
      <c r="O14" s="49"/>
      <c r="P14" s="49"/>
      <c r="Q14" s="49"/>
      <c r="R14" s="49"/>
      <c r="S14" s="49"/>
      <c r="T14" s="49"/>
      <c r="U14" s="49"/>
      <c r="V14" s="49"/>
      <c r="W14" s="49"/>
      <c r="X14" s="49"/>
      <c r="Y14" s="49"/>
      <c r="Z14" s="49"/>
    </row>
    <row r="15" spans="1:26" ht="15.75" customHeight="1">
      <c r="A15" s="49"/>
      <c r="B15" s="52"/>
      <c r="C15" s="49"/>
      <c r="D15" s="49"/>
      <c r="E15" s="49"/>
      <c r="F15" s="5"/>
      <c r="G15" s="53"/>
      <c r="H15" s="49"/>
      <c r="I15" s="49"/>
      <c r="J15" s="49"/>
      <c r="K15" s="49"/>
      <c r="L15" s="49"/>
      <c r="M15" s="49"/>
      <c r="N15" s="49"/>
      <c r="O15" s="49"/>
      <c r="P15" s="49"/>
      <c r="Q15" s="49"/>
      <c r="R15" s="49"/>
      <c r="S15" s="49"/>
      <c r="T15" s="49"/>
      <c r="U15" s="49"/>
      <c r="V15" s="49"/>
      <c r="W15" s="49"/>
      <c r="X15" s="49"/>
      <c r="Y15" s="49"/>
      <c r="Z15" s="49"/>
    </row>
    <row r="16" spans="1:26" ht="15.75" customHeight="1">
      <c r="A16" s="49"/>
      <c r="B16" s="54"/>
      <c r="C16" s="49"/>
      <c r="D16" s="49"/>
      <c r="E16" s="49"/>
      <c r="F16" s="49"/>
      <c r="G16" s="49"/>
      <c r="H16" s="49"/>
      <c r="I16" s="49"/>
      <c r="J16" s="49"/>
      <c r="K16" s="49"/>
      <c r="L16" s="49"/>
      <c r="M16" s="49"/>
      <c r="N16" s="49"/>
      <c r="O16" s="49"/>
      <c r="P16" s="49"/>
      <c r="Q16" s="49"/>
      <c r="R16" s="49"/>
      <c r="S16" s="49"/>
      <c r="T16" s="49"/>
      <c r="U16" s="49"/>
      <c r="V16" s="49"/>
      <c r="W16" s="49"/>
      <c r="X16" s="49"/>
      <c r="Y16" s="49"/>
      <c r="Z16" s="49"/>
    </row>
    <row r="17" spans="1:26" ht="15.75" customHeight="1">
      <c r="A17" s="49"/>
      <c r="B17" s="55"/>
      <c r="C17" s="49"/>
      <c r="D17" s="49"/>
      <c r="E17" s="49"/>
      <c r="F17" s="49"/>
      <c r="G17" s="49"/>
      <c r="H17" s="49"/>
      <c r="I17" s="49"/>
      <c r="J17" s="49"/>
      <c r="K17" s="49"/>
      <c r="L17" s="49"/>
      <c r="M17" s="49"/>
      <c r="N17" s="49"/>
      <c r="O17" s="49"/>
      <c r="P17" s="49"/>
      <c r="Q17" s="49"/>
      <c r="R17" s="49"/>
      <c r="S17" s="49"/>
      <c r="T17" s="49"/>
      <c r="U17" s="49"/>
      <c r="V17" s="49"/>
      <c r="W17" s="49"/>
      <c r="X17" s="49"/>
      <c r="Y17" s="49"/>
      <c r="Z17" s="49"/>
    </row>
    <row r="18" spans="1:26" ht="15.75" customHeight="1">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spans="1:26" ht="15.75" customHeight="1">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spans="1:26" ht="15.75" customHeight="1">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spans="1:26" ht="15.75" customHeight="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spans="1:26" ht="15.7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spans="1:26" ht="15.5">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spans="1:26" ht="15.5">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ht="15.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spans="1:26" ht="15.5">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spans="1:26" ht="15.5">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spans="1:26" ht="15.5">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spans="1:26" ht="15.5">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spans="1:26" ht="15.5">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6" ht="15.5">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15.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ht="15.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ht="15.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ht="15.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15.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15.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15.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15.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15.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ht="15.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ht="15.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ht="15.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15.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ht="15.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ht="15.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ht="15.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ht="15.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ht="15.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15.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15.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15.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15.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15.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1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15.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15.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15.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15.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15.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15.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5.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5.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5.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5.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5.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5.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5.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5.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5.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5.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5.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5.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5.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5.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5.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5.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5.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5.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5.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5.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5.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5.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5.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5.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5.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5.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5.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5.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5.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5.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5.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5.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5.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5.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5.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5.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5.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5.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5.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5.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5.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5.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5.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5.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5.5">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5.5">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5.5">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5.5">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5.5">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5.5">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5.5">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5.5">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5.5">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5.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5.5">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5.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5.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5.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5.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5.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5.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5.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5.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5.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5.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5.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5.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5.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5.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5.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5.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5.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5.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5.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5.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5.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5.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5.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5.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5.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5.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5.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5.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5.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5.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5.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5.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5.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5.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5.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5.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5.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5.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5.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5.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5.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5.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5.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5.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5.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5.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5.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5.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5.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5.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5.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5.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5.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5.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5.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5.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5.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5.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5.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5.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5.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5.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5.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5.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5.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5.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5.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5.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5.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5.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5.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5.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5.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5.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5.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5.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5.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5.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5.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5.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5.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5.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5.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5.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5.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5.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5.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5.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5.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5.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5.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5.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5.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5.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5.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5.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5.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5.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5.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5.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5.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5.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5.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5.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5.5">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5.5">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5.5">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5.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5.5">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5.5">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5.5">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5.5">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5.5">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5.5">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5.5">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5.5">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5.5">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5.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5.5">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5.5">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5.5">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5.5">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5.5">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5.5">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5.5">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5.5">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5.5">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5.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5.5">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5.5">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5.5">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5.5">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5.5">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5.5">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5.5">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5.5">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5.5">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5.5">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5.5">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5.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5.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5.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5.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5.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5.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5.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5.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5.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5.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5.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5.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5.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5.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5.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5.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5.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5.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5.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5.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5.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5.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5.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5.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5.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5.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5.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5.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5.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5.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5.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5.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5.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5.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5.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5.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5.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5.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5.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5.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5.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5.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5.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5.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5.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5.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5.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5.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5.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5.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5.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5.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5.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5.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5.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5.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5.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5.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5.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5.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5.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5.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5.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5.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5.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5.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5.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5.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5.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5.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5.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5.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5.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5.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5.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5.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5.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5.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5.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5.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5.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5.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5.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5.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5.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5.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5.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5.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5.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5.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5.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5.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5.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5.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5.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5.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5.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5.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5.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5.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5.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5.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5.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5.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5.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5.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5.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5.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5.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5.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5.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5.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5.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5.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5.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5.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5.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5.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5.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5.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5.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5.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5.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5.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5.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5.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5.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5.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5.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5.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5.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5.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5.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5.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5.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5.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5.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5.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5.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5.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5.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5.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5.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5.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5.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5.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5.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5.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5.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5.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5.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5.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5.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5.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5.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5.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5.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5.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5.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5.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5.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5.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5.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5.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5.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5.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5.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5.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5.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5.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5.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5.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5.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5.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5.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5.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5.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5.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5.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5.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5.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5.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5.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5.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5.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5.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5.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5.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5.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5.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5.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5.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5.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5.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5.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5.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5.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5.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5.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5.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5.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5.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5.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5.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5.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5.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5.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5.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5.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5.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5.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5.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5.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5.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5.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5.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5.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5.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5.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5.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5.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5.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5.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5.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5.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5.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5.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5.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5.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5.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5.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5.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5.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5.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5.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5.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5.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5.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5.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5.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5.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5.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5.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5.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5.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5.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5.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5.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5.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5.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5.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5.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5.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5.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5.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5.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5.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5.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5.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5.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5.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5.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5.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5.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5.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5.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5.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5.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5.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5.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5.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5.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5.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5.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5.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5.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5.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5.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5.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5.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5.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5.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5.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5.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5.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5.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5.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5.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5.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5.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5.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5.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5.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5.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5.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5.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5.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5.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5.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5.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5.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5.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5.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5.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5.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5.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5.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5.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5.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5.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5.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5.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5.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5.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5.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5.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5.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5.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5.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5.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5.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5.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5.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5.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5.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5.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5.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5.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5.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5.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5.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5.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5.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5.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5.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5.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5.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5.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5.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5.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5.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5.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5.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5.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5.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5.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5.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5.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5.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5.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5.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5.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5.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5.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5.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5.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5.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5.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5.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5.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5.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5.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5.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5.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5.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5.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5.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5.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5.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5.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5.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5.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5.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5.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5.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5.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5.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5.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5.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5.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5.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5.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5.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5.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5.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5.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5.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5.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5.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5.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5.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5.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5.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5.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5.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5.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5.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5.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5.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5.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5.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5.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5.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5.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5.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5.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5.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5.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5.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5.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5.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5.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5.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5.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5.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5.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5.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5.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5.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5.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5.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5.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5.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5.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5.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5.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5.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5.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5.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5.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5.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5.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5.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5.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5.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5.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5.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5.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5.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5.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5.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5.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5.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5.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5.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5.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5.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5.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5.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5.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5.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5.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5.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5.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5.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5.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5.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5.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5.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5.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5.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5.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5.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5.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5.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5.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5.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5.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5.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5.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5.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5.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5.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5.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5.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5.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5.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5.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5.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5.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5.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5.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5.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5.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5.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5.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5.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5.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5.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5.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5.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5.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5.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5.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5.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5.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5.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5.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5.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5.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5.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5.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5.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5.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5.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5.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5.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5.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5.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5.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5.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5.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5.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5.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5.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5.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5.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5.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5.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5.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5.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5.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5.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5.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5.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5.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5.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5.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5.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5.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5.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5.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5.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5.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5.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5.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5.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5.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5.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5.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5.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5.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5.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5.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5.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5.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5.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5.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5.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5.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5.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5.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5.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5.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5.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5.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5.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5.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5.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5.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5.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5.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5.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5.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5.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5.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5.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5.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5.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5.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5.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5.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5.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5.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5.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5.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5.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5.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5.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5.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5.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5.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5.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5.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5.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5.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5.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5.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5.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5.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5.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5.5">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5.5">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5.5">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5.5">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5.5">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5.5">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5.5">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5.5">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5.5">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5.5">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5.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5.5">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5.5">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5.5">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5.5">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5.5">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5.5">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5.5">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5.5">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5.5">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5.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5.5">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5.5">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5.5">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5.5">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5.5">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5.5">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5.5">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5.5">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5.5">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5.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5.5">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5.5">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5.5">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5.5">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5.5">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5.5">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5.5">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5.5">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5.5">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5.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5.5">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5.5">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5.5">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5.5">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5.5">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5.5">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5.5">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5.5">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5.5">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5.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5.5">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5.5">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5.5">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5.5">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5.5">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5.5">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5.5">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5.5">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5.5">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5.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5.5">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5.5">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5.5">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5.5">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5.5">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5.5">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5.5">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5.5">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5.5">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5.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5.5">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5.5">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5.5">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5.5">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5.5">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5.5">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5.5">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5.5">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5.5">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5.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5.5">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5.5">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5.5">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5.5">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5.5">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5.5">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5.5">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5.5">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5.5">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5.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5.5">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5.5">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5.5">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5.5">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5.5">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5.5">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5.5">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5.5">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5.5">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5.5">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5.5">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5.5">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5.5">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5.5">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5.5">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5.5">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5.5">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5.5">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5.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5.5">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5.5">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5.5">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5.5">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5.5">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5.5">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5.5">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5.5">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5.5">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5.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5.5">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5.5">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5.5">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15.5">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15.5">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15.5">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15.5">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15.5">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15.5">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15.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15.5">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15.5">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15.5">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15.5">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15.5">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15.5">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15.5">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15.5">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15.5">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15.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15.5">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15.5">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spans="1:26" ht="15.5">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spans="1:26" ht="15.5">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spans="1:26" ht="15.5">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row r="1001" spans="1:26" ht="15.5">
      <c r="A1001" s="49"/>
      <c r="B1001" s="49"/>
      <c r="C1001" s="49"/>
      <c r="D1001" s="49"/>
      <c r="E1001" s="49"/>
      <c r="F1001" s="49"/>
      <c r="G1001" s="49"/>
      <c r="H1001" s="49"/>
      <c r="I1001" s="49"/>
      <c r="J1001" s="49"/>
      <c r="K1001" s="49"/>
      <c r="L1001" s="49"/>
      <c r="M1001" s="49"/>
      <c r="N1001" s="49"/>
      <c r="O1001" s="49"/>
      <c r="P1001" s="49"/>
      <c r="Q1001" s="49"/>
      <c r="R1001" s="49"/>
      <c r="S1001" s="49"/>
      <c r="T1001" s="49"/>
      <c r="U1001" s="49"/>
      <c r="V1001" s="49"/>
      <c r="W1001" s="49"/>
      <c r="X1001" s="49"/>
      <c r="Y1001" s="49"/>
      <c r="Z1001" s="49"/>
    </row>
    <row r="1002" spans="1:26" ht="15.5">
      <c r="A1002" s="49"/>
      <c r="B1002" s="49"/>
      <c r="C1002" s="49"/>
      <c r="D1002" s="49"/>
      <c r="E1002" s="49"/>
      <c r="F1002" s="49"/>
      <c r="G1002" s="49"/>
      <c r="H1002" s="49"/>
      <c r="I1002" s="49"/>
      <c r="J1002" s="49"/>
      <c r="K1002" s="49"/>
      <c r="L1002" s="49"/>
      <c r="M1002" s="49"/>
      <c r="N1002" s="49"/>
      <c r="O1002" s="49"/>
      <c r="P1002" s="49"/>
      <c r="Q1002" s="49"/>
      <c r="R1002" s="49"/>
      <c r="S1002" s="49"/>
      <c r="T1002" s="49"/>
      <c r="U1002" s="49"/>
      <c r="V1002" s="49"/>
      <c r="W1002" s="49"/>
      <c r="X1002" s="49"/>
      <c r="Y1002" s="49"/>
      <c r="Z1002" s="49"/>
    </row>
    <row r="1003" spans="1:26" ht="15.5">
      <c r="A1003" s="49"/>
      <c r="B1003" s="49"/>
      <c r="C1003" s="49"/>
      <c r="D1003" s="49"/>
      <c r="E1003" s="49"/>
      <c r="F1003" s="49"/>
      <c r="G1003" s="49"/>
      <c r="H1003" s="49"/>
      <c r="I1003" s="49"/>
      <c r="J1003" s="49"/>
      <c r="K1003" s="49"/>
      <c r="L1003" s="49"/>
      <c r="M1003" s="49"/>
      <c r="N1003" s="49"/>
      <c r="O1003" s="49"/>
      <c r="P1003" s="49"/>
      <c r="Q1003" s="49"/>
      <c r="R1003" s="49"/>
      <c r="S1003" s="49"/>
      <c r="T1003" s="49"/>
      <c r="U1003" s="49"/>
      <c r="V1003" s="49"/>
      <c r="W1003" s="49"/>
      <c r="X1003" s="49"/>
      <c r="Y1003" s="49"/>
      <c r="Z1003" s="49"/>
    </row>
  </sheetData>
  <mergeCells count="2">
    <mergeCell ref="A1:F1"/>
    <mergeCell ref="A4:B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sheetViews>
    <sheetView workbookViewId="0">
      <selection sqref="A1:G1"/>
    </sheetView>
  </sheetViews>
  <sheetFormatPr defaultColWidth="12.6328125" defaultRowHeight="15.75" customHeight="1"/>
  <cols>
    <col min="1" max="1" width="58.26953125" customWidth="1"/>
    <col min="2" max="2" width="24" customWidth="1"/>
    <col min="3" max="3" width="15.6328125" customWidth="1"/>
    <col min="4" max="4" width="10.26953125" customWidth="1"/>
    <col min="5" max="6" width="20.08984375" customWidth="1"/>
    <col min="7" max="7" width="21" customWidth="1"/>
    <col min="8" max="8" width="15.90625" customWidth="1"/>
    <col min="9" max="9" width="15.6328125" customWidth="1"/>
    <col min="10" max="10" width="15.90625" customWidth="1"/>
    <col min="11" max="11" width="22.453125" customWidth="1"/>
    <col min="12" max="12" width="17.08984375" customWidth="1"/>
    <col min="13" max="13" width="33.7265625" customWidth="1"/>
  </cols>
  <sheetData>
    <row r="1" spans="1:26" ht="15.75" customHeight="1">
      <c r="A1" t="s" s="72">
        <v>199</v>
      </c>
      <c r="B1" s="73"/>
      <c r="C1" s="73"/>
      <c r="D1" s="73"/>
      <c r="E1" s="73"/>
      <c r="F1" s="73"/>
      <c r="G1" s="73"/>
      <c r="H1" s="49"/>
      <c r="I1" s="49"/>
      <c r="J1" s="49"/>
      <c r="K1" s="49"/>
      <c r="L1" s="49"/>
      <c r="M1" s="49"/>
      <c r="N1" s="49"/>
      <c r="O1" s="49"/>
      <c r="P1" s="49"/>
      <c r="Q1" s="49"/>
      <c r="R1" s="49"/>
      <c r="S1" s="49"/>
      <c r="T1" s="49"/>
      <c r="U1" s="49"/>
      <c r="V1" s="49"/>
      <c r="W1" s="49"/>
      <c r="X1" s="49"/>
      <c r="Y1" s="49"/>
      <c r="Z1" s="49"/>
    </row>
    <row r="2" spans="1:26" ht="15.75" customHeight="1">
      <c r="A2" s="1"/>
      <c r="B2" s="1"/>
      <c r="C2" s="1"/>
      <c r="D2" s="1"/>
      <c r="E2" s="1"/>
      <c r="F2" s="1"/>
      <c r="G2" s="1"/>
      <c r="H2" s="49"/>
      <c r="I2" s="49"/>
      <c r="J2" s="49"/>
      <c r="K2" s="49"/>
      <c r="L2" s="49"/>
      <c r="M2" s="49"/>
      <c r="N2" s="49"/>
      <c r="O2" s="49"/>
      <c r="P2" s="49"/>
      <c r="Q2" s="49"/>
      <c r="R2" s="49"/>
      <c r="S2" s="49"/>
      <c r="T2" s="49"/>
      <c r="U2" s="49"/>
      <c r="V2" s="49"/>
      <c r="W2" s="49"/>
      <c r="X2" s="49"/>
      <c r="Y2" s="49"/>
      <c r="Z2" s="49"/>
    </row>
    <row r="3" spans="1:26" ht="15.75" customHeight="1">
      <c r="A3" s="1"/>
      <c r="B3" s="1"/>
      <c r="C3" s="1"/>
      <c r="D3" s="1"/>
      <c r="E3" s="1"/>
      <c r="F3" s="1"/>
      <c r="G3" s="1"/>
      <c r="H3" s="49"/>
      <c r="I3" s="49"/>
      <c r="J3" s="49"/>
      <c r="K3" s="49"/>
      <c r="L3" s="49"/>
      <c r="M3" s="49"/>
      <c r="N3" s="49"/>
      <c r="O3" s="49"/>
      <c r="P3" s="49"/>
      <c r="Q3" s="49"/>
      <c r="R3" s="49"/>
      <c r="S3" s="49"/>
      <c r="T3" s="49"/>
      <c r="U3" s="49"/>
      <c r="V3" s="49"/>
      <c r="W3" s="49"/>
      <c r="X3" s="49"/>
      <c r="Y3" s="49"/>
      <c r="Z3" s="49"/>
    </row>
    <row r="4" spans="1:26" ht="15.75" customHeight="1">
      <c r="A4" t="s" s="74">
        <v>200</v>
      </c>
      <c r="B4" s="73"/>
      <c r="C4" s="73"/>
      <c r="D4" s="73"/>
      <c r="E4" s="73"/>
      <c r="F4" s="73"/>
      <c r="G4" s="73"/>
      <c r="H4" s="73"/>
      <c r="I4" s="73"/>
      <c r="J4" s="73"/>
      <c r="K4" s="73"/>
      <c r="L4" s="73"/>
      <c r="M4" s="73"/>
      <c r="N4" s="49"/>
      <c r="O4" s="49"/>
      <c r="P4" s="49"/>
      <c r="Q4" s="49"/>
      <c r="R4" s="49"/>
      <c r="S4" s="49"/>
      <c r="T4" s="49"/>
      <c r="U4" s="49"/>
      <c r="V4" s="49"/>
      <c r="W4" s="49"/>
      <c r="X4" s="49"/>
      <c r="Y4" s="49"/>
      <c r="Z4" s="49"/>
    </row>
    <row r="5" spans="1:26" ht="15.75" customHeight="1">
      <c r="A5" t="s" s="56">
        <v>201</v>
      </c>
      <c r="B5" t="s" s="56">
        <v>145</v>
      </c>
      <c r="C5" t="s" s="56">
        <v>202</v>
      </c>
      <c r="D5" t="s" s="56">
        <v>203</v>
      </c>
      <c r="E5" t="s" s="56">
        <v>204</v>
      </c>
      <c r="F5" t="s" s="56">
        <v>205</v>
      </c>
      <c r="G5" t="s" s="56">
        <v>206</v>
      </c>
      <c r="H5" t="s" s="56">
        <v>207</v>
      </c>
      <c r="I5" t="s" s="56">
        <v>208</v>
      </c>
      <c r="J5" t="s" s="56">
        <v>209</v>
      </c>
      <c r="K5" t="s" s="56">
        <v>210</v>
      </c>
      <c r="L5" t="s" s="56">
        <v>211</v>
      </c>
      <c r="M5" t="s" s="56">
        <v>85</v>
      </c>
      <c r="N5" s="17"/>
      <c r="O5" s="17"/>
      <c r="P5" s="17"/>
      <c r="Q5" s="17"/>
      <c r="R5" s="17"/>
      <c r="S5" s="17"/>
      <c r="T5" s="17"/>
      <c r="U5" s="17"/>
      <c r="V5" s="17"/>
      <c r="W5" s="17"/>
      <c r="X5" s="17"/>
      <c r="Y5" s="17"/>
      <c r="Z5" s="17"/>
    </row>
    <row r="6" spans="1:26" ht="15.75" customHeight="1">
      <c r="A6" t="s" s="3">
        <v>360</v>
      </c>
      <c r="B6" t="s" s="3">
        <v>361</v>
      </c>
      <c r="C6" s="333">
        <v>103343</v>
      </c>
      <c r="D6" s="353">
        <v>45717.291666666664</v>
      </c>
      <c r="E6" s="373">
        <v>91000</v>
      </c>
      <c r="F6" s="393">
        <v>118793</v>
      </c>
      <c r="G6" s="413">
        <v>51700000000</v>
      </c>
      <c r="H6" s="433"/>
      <c r="I6" s="453">
        <v>505900</v>
      </c>
      <c r="J6" s="473"/>
      <c r="K6" s="493">
        <v>51700000000</v>
      </c>
      <c r="L6" s="513">
        <v>505900</v>
      </c>
      <c r="M6" t="s" s="3">
        <v>362</v>
      </c>
      <c r="N6" s="49"/>
      <c r="O6" s="49"/>
      <c r="P6" s="49"/>
      <c r="Q6" s="49"/>
      <c r="R6" s="49"/>
      <c r="S6" s="49"/>
      <c r="T6" s="49"/>
      <c r="U6" s="49"/>
      <c r="V6" s="49"/>
      <c r="W6" s="49"/>
      <c r="X6" s="49"/>
      <c r="Y6" s="49"/>
      <c r="Z6" s="49"/>
    </row>
    <row r="7" spans="1:26" ht="15.75" customHeight="1">
      <c r="A7" t="s" s="3">
        <v>363</v>
      </c>
      <c r="B7" t="s" s="3">
        <v>346</v>
      </c>
      <c r="C7" s="334">
        <v>312624</v>
      </c>
      <c r="D7" s="354">
        <v>45139.291666666664</v>
      </c>
      <c r="E7" s="374">
        <v>265000</v>
      </c>
      <c r="F7" s="394">
        <v>513516</v>
      </c>
      <c r="G7" s="414">
        <v>42700000000</v>
      </c>
      <c r="H7" s="434"/>
      <c r="I7" s="454">
        <v>172000</v>
      </c>
      <c r="J7" s="474">
        <v>7.63</v>
      </c>
      <c r="K7" s="494">
        <v>46500000000</v>
      </c>
      <c r="L7" s="514">
        <v>191900</v>
      </c>
      <c r="M7" t="s" s="3">
        <v>362</v>
      </c>
      <c r="N7" s="49"/>
      <c r="O7" s="49"/>
      <c r="P7" s="49"/>
      <c r="Q7" s="49"/>
      <c r="R7" s="49"/>
      <c r="S7" s="49"/>
      <c r="T7" s="49"/>
      <c r="U7" s="49"/>
      <c r="V7" s="49"/>
      <c r="W7" s="49"/>
      <c r="X7" s="49"/>
      <c r="Y7" s="49"/>
      <c r="Z7" s="49"/>
    </row>
    <row r="8" spans="1:26" ht="15.75" customHeight="1">
      <c r="A8" t="s" s="3">
        <v>364</v>
      </c>
      <c r="B8" t="s" s="3">
        <v>361</v>
      </c>
      <c r="C8" s="335">
        <v>103739</v>
      </c>
      <c r="D8" s="355">
        <v>45717.291666666664</v>
      </c>
      <c r="E8" s="375">
        <v>91000</v>
      </c>
      <c r="F8" s="395">
        <v>142794</v>
      </c>
      <c r="G8" s="415">
        <v>12700000000</v>
      </c>
      <c r="H8" s="435"/>
      <c r="I8" s="455">
        <v>126500</v>
      </c>
      <c r="J8" s="475"/>
      <c r="K8" s="495">
        <v>12700000000</v>
      </c>
      <c r="L8" s="515">
        <v>126500</v>
      </c>
      <c r="M8" t="s" s="3">
        <v>362</v>
      </c>
      <c r="N8" s="49"/>
      <c r="O8" s="49"/>
      <c r="P8" s="49"/>
      <c r="Q8" s="49"/>
      <c r="R8" s="49"/>
      <c r="S8" s="49"/>
      <c r="T8" s="49"/>
      <c r="U8" s="49"/>
      <c r="V8" s="49"/>
      <c r="W8" s="49"/>
      <c r="X8" s="49"/>
      <c r="Y8" s="49"/>
      <c r="Z8" s="49"/>
    </row>
    <row r="9" spans="1:26" ht="15.75" customHeight="1">
      <c r="A9" t="s" s="3">
        <v>365</v>
      </c>
      <c r="B9" t="s" s="3">
        <v>366</v>
      </c>
      <c r="C9" s="336">
        <v>477827</v>
      </c>
      <c r="D9" s="356">
        <v>45017.291666666664</v>
      </c>
      <c r="E9" s="376">
        <v>373000</v>
      </c>
      <c r="F9" s="396">
        <v>491997</v>
      </c>
      <c r="G9" s="416">
        <v>9400000000</v>
      </c>
      <c r="H9" s="436"/>
      <c r="I9" s="456">
        <v>23500</v>
      </c>
      <c r="J9" s="476"/>
      <c r="K9" s="496">
        <v>9800000000</v>
      </c>
      <c r="L9" s="516">
        <v>25000</v>
      </c>
      <c r="M9" t="s" s="3">
        <v>362</v>
      </c>
      <c r="N9" s="49"/>
      <c r="O9" s="49"/>
      <c r="P9" s="49"/>
      <c r="Q9" s="49"/>
      <c r="R9" s="49"/>
      <c r="S9" s="49"/>
      <c r="T9" s="49"/>
      <c r="U9" s="49"/>
      <c r="V9" s="49"/>
      <c r="W9" s="49"/>
      <c r="X9" s="49"/>
      <c r="Y9" s="49"/>
      <c r="Z9" s="49"/>
    </row>
    <row r="10" spans="1:26" ht="15.75" customHeight="1">
      <c r="A10" t="s" s="3">
        <v>367</v>
      </c>
      <c r="B10" t="s" s="3">
        <v>368</v>
      </c>
      <c r="C10" s="337">
        <v>1053853</v>
      </c>
      <c r="D10" s="357">
        <v>45047.291666666664</v>
      </c>
      <c r="E10" s="377">
        <v>555000</v>
      </c>
      <c r="F10" s="397">
        <v>1073859</v>
      </c>
      <c r="G10" s="417">
        <v>5400000000</v>
      </c>
      <c r="H10" s="437">
        <v>0.36</v>
      </c>
      <c r="I10" s="457">
        <v>9400</v>
      </c>
      <c r="J10" s="477">
        <v>-0.05</v>
      </c>
      <c r="K10" s="497">
        <v>9300000000</v>
      </c>
      <c r="L10" s="517">
        <v>19400</v>
      </c>
      <c r="M10" t="s" s="3">
        <v>362</v>
      </c>
      <c r="N10" s="49"/>
      <c r="O10" s="49"/>
      <c r="P10" s="49"/>
      <c r="Q10" s="49"/>
      <c r="R10" s="49"/>
      <c r="S10" s="49"/>
      <c r="T10" s="49"/>
      <c r="U10" s="49"/>
      <c r="V10" s="49"/>
      <c r="W10" s="49"/>
      <c r="X10" s="49"/>
      <c r="Y10" s="49"/>
      <c r="Z10" s="49"/>
    </row>
    <row r="11" spans="1:26" ht="15.75" customHeight="1">
      <c r="A11" t="s" s="3">
        <v>369</v>
      </c>
      <c r="B11" t="s" s="3">
        <v>370</v>
      </c>
      <c r="C11" s="338">
        <v>3310721</v>
      </c>
      <c r="D11" s="358">
        <v>45047.291666666664</v>
      </c>
      <c r="E11" s="378">
        <v>69000</v>
      </c>
      <c r="F11" s="398">
        <v>3310721</v>
      </c>
      <c r="G11" s="418">
        <v>1800000000</v>
      </c>
      <c r="H11" s="438">
        <v>-0.72</v>
      </c>
      <c r="I11" s="458">
        <v>10900</v>
      </c>
      <c r="J11" s="478">
        <v>-0.75</v>
      </c>
      <c r="K11" s="498">
        <v>8300000000</v>
      </c>
      <c r="L11" s="518">
        <v>55100</v>
      </c>
      <c r="M11" t="s" s="3">
        <v>362</v>
      </c>
      <c r="N11" s="49"/>
      <c r="O11" s="49"/>
      <c r="P11" s="49"/>
      <c r="Q11" s="49"/>
      <c r="R11" s="49"/>
      <c r="S11" s="49"/>
      <c r="T11" s="49"/>
      <c r="U11" s="49"/>
      <c r="V11" s="49"/>
      <c r="W11" s="49"/>
      <c r="X11" s="49"/>
      <c r="Y11" s="49"/>
      <c r="Z11" s="49"/>
    </row>
    <row r="12" spans="1:26" ht="15.75" customHeight="1">
      <c r="A12" t="s" s="3">
        <v>371</v>
      </c>
      <c r="B12" t="s" s="3">
        <v>372</v>
      </c>
      <c r="C12" s="339">
        <v>412000</v>
      </c>
      <c r="D12" s="359">
        <v>44105.291666666664</v>
      </c>
      <c r="E12" s="379">
        <v>295000</v>
      </c>
      <c r="F12" s="399">
        <v>562000</v>
      </c>
      <c r="G12" s="419">
        <v>5900000000</v>
      </c>
      <c r="H12" s="439">
        <v>2.57</v>
      </c>
      <c r="I12" s="459">
        <v>15600</v>
      </c>
      <c r="J12" s="479">
        <v>2.05</v>
      </c>
      <c r="K12" s="499">
        <v>7700000000</v>
      </c>
      <c r="L12" s="519">
        <v>21200</v>
      </c>
      <c r="M12" t="s" s="3">
        <v>373</v>
      </c>
      <c r="N12" s="49"/>
      <c r="O12" s="49"/>
      <c r="P12" s="49"/>
      <c r="Q12" s="49"/>
      <c r="R12" s="49"/>
      <c r="S12" s="49"/>
      <c r="T12" s="49"/>
      <c r="U12" s="49"/>
      <c r="V12" s="49"/>
      <c r="W12" s="49"/>
      <c r="X12" s="49"/>
      <c r="Y12" s="49"/>
      <c r="Z12" s="49"/>
    </row>
    <row r="13" spans="1:26" ht="15.75" customHeight="1">
      <c r="A13" t="s" s="3">
        <v>374</v>
      </c>
      <c r="B13" t="s" s="3">
        <v>361</v>
      </c>
      <c r="C13" s="340">
        <v>198729</v>
      </c>
      <c r="D13" s="360">
        <v>45748.291666666664</v>
      </c>
      <c r="E13" s="380">
        <v>94000</v>
      </c>
      <c r="F13" s="400">
        <v>217302</v>
      </c>
      <c r="G13" s="420">
        <v>7500000000</v>
      </c>
      <c r="H13" s="440"/>
      <c r="I13" s="460">
        <v>40200</v>
      </c>
      <c r="J13" s="480"/>
      <c r="K13" s="500">
        <v>7500000000</v>
      </c>
      <c r="L13" s="520">
        <v>40200</v>
      </c>
      <c r="M13" t="s" s="3">
        <v>362</v>
      </c>
      <c r="N13" s="49"/>
      <c r="O13" s="49"/>
      <c r="P13" s="49"/>
      <c r="Q13" s="49"/>
      <c r="R13" s="49"/>
      <c r="S13" s="49"/>
      <c r="T13" s="49"/>
      <c r="U13" s="49"/>
      <c r="V13" s="49"/>
      <c r="W13" s="49"/>
      <c r="X13" s="49"/>
      <c r="Y13" s="49"/>
      <c r="Z13" s="49"/>
    </row>
    <row r="14" spans="1:26" ht="15.75" customHeight="1">
      <c r="A14" t="s" s="3">
        <v>375</v>
      </c>
      <c r="B14" t="s" s="3">
        <v>376</v>
      </c>
      <c r="C14" s="341">
        <v>707592</v>
      </c>
      <c r="D14" s="361">
        <v>45474.291666666664</v>
      </c>
      <c r="E14" s="381">
        <v>225000</v>
      </c>
      <c r="F14" s="401">
        <v>1160000</v>
      </c>
      <c r="G14" s="421">
        <v>4100000000</v>
      </c>
      <c r="H14" s="441">
        <v>0.43</v>
      </c>
      <c r="I14" s="461">
        <v>6900</v>
      </c>
      <c r="J14" s="481">
        <v>1.13</v>
      </c>
      <c r="K14" s="501">
        <v>6900000000</v>
      </c>
      <c r="L14" s="521">
        <v>10100</v>
      </c>
      <c r="M14" t="s" s="3">
        <v>362</v>
      </c>
      <c r="N14" s="49"/>
      <c r="O14" s="49"/>
      <c r="P14" s="49"/>
      <c r="Q14" s="49"/>
      <c r="R14" s="49"/>
      <c r="S14" s="49"/>
      <c r="T14" s="49"/>
      <c r="U14" s="49"/>
      <c r="V14" s="49"/>
      <c r="W14" s="49"/>
      <c r="X14" s="49"/>
      <c r="Y14" s="49"/>
      <c r="Z14" s="49"/>
    </row>
    <row r="15" spans="1:26" ht="15.75" customHeight="1">
      <c r="A15" t="s" s="3">
        <v>377</v>
      </c>
      <c r="B15" t="s" s="3">
        <v>378</v>
      </c>
      <c r="C15" s="342">
        <v>412000</v>
      </c>
      <c r="D15" s="362">
        <v>44621.291666666664</v>
      </c>
      <c r="E15" s="382">
        <v>300000</v>
      </c>
      <c r="F15" s="402">
        <v>746000</v>
      </c>
      <c r="G15" s="422">
        <v>5600000000</v>
      </c>
      <c r="H15" s="442"/>
      <c r="I15" s="462">
        <v>14100</v>
      </c>
      <c r="J15" s="482"/>
      <c r="K15" s="502">
        <v>6000000000</v>
      </c>
      <c r="L15" s="522">
        <v>15200</v>
      </c>
      <c r="M15" t="s" s="3">
        <v>373</v>
      </c>
      <c r="N15" s="49"/>
      <c r="O15" s="49"/>
      <c r="P15" s="49"/>
      <c r="Q15" s="49"/>
      <c r="R15" s="49"/>
      <c r="S15" s="49"/>
      <c r="T15" s="49"/>
      <c r="U15" s="49"/>
      <c r="V15" s="49"/>
      <c r="W15" s="49"/>
      <c r="X15" s="49"/>
      <c r="Y15" s="49"/>
      <c r="Z15" s="49"/>
    </row>
    <row r="16" spans="1:26" ht="15.75" customHeight="1">
      <c r="A16" t="s" s="3">
        <v>379</v>
      </c>
      <c r="B16" t="s" s="3">
        <v>380</v>
      </c>
      <c r="C16" s="343">
        <v>214821</v>
      </c>
      <c r="D16" s="363">
        <v>43770.291666666664</v>
      </c>
      <c r="E16" s="383">
        <v>47600</v>
      </c>
      <c r="F16" s="403">
        <v>265000</v>
      </c>
      <c r="G16" s="423">
        <v>1300000000</v>
      </c>
      <c r="H16" s="443">
        <v>-0.49</v>
      </c>
      <c r="I16" s="463">
        <v>5400</v>
      </c>
      <c r="J16" s="483">
        <v>-0.68</v>
      </c>
      <c r="K16" s="503">
        <v>5600000000</v>
      </c>
      <c r="L16" s="523">
        <v>44400</v>
      </c>
      <c r="M16" t="s" s="3">
        <v>381</v>
      </c>
      <c r="N16" s="49"/>
      <c r="O16" s="49"/>
      <c r="P16" s="49"/>
      <c r="Q16" s="49"/>
      <c r="R16" s="49"/>
      <c r="S16" s="49"/>
      <c r="T16" s="49"/>
      <c r="U16" s="49"/>
      <c r="V16" s="49"/>
      <c r="W16" s="49"/>
      <c r="X16" s="49"/>
      <c r="Y16" s="49"/>
      <c r="Z16" s="49"/>
    </row>
    <row r="17" spans="1:26" ht="15.75" customHeight="1">
      <c r="A17" t="s" s="3">
        <v>382</v>
      </c>
      <c r="B17" t="s" s="3">
        <v>366</v>
      </c>
      <c r="C17" s="344">
        <v>1188776</v>
      </c>
      <c r="D17" s="364">
        <v>44986.291666666664</v>
      </c>
      <c r="E17" s="384">
        <v>1188776</v>
      </c>
      <c r="F17" s="404">
        <v>1737535</v>
      </c>
      <c r="G17" s="424">
        <v>2000000000</v>
      </c>
      <c r="H17" s="444">
        <v>-0.42</v>
      </c>
      <c r="I17" s="464">
        <v>1500</v>
      </c>
      <c r="J17" s="484">
        <v>-0.49</v>
      </c>
      <c r="K17" s="504">
        <v>5600000000</v>
      </c>
      <c r="L17" s="524">
        <v>4300</v>
      </c>
      <c r="M17" t="s" s="3">
        <v>362</v>
      </c>
      <c r="N17" s="49"/>
      <c r="O17" s="49"/>
      <c r="P17" s="49"/>
      <c r="Q17" s="49"/>
      <c r="R17" s="49"/>
      <c r="S17" s="49"/>
      <c r="T17" s="49"/>
      <c r="U17" s="49"/>
      <c r="V17" s="49"/>
      <c r="W17" s="49"/>
      <c r="X17" s="49"/>
      <c r="Y17" s="49"/>
      <c r="Z17" s="49"/>
    </row>
    <row r="18" spans="1:26" ht="15.75" customHeight="1">
      <c r="A18" t="s" s="3">
        <v>383</v>
      </c>
      <c r="B18" t="s" s="3">
        <v>384</v>
      </c>
      <c r="C18" s="345">
        <v>800000</v>
      </c>
      <c r="D18" s="365">
        <v>45047.291666666664</v>
      </c>
      <c r="E18" s="385">
        <v>619000</v>
      </c>
      <c r="F18" s="405">
        <v>1300000</v>
      </c>
      <c r="G18" s="425">
        <v>4600000000</v>
      </c>
      <c r="H18" s="445">
        <v>5.46</v>
      </c>
      <c r="I18" s="465">
        <v>6500</v>
      </c>
      <c r="J18" s="485">
        <v>5.38</v>
      </c>
      <c r="K18" s="505">
        <v>5300000000</v>
      </c>
      <c r="L18" s="525">
        <v>7500</v>
      </c>
      <c r="M18" t="s" s="3">
        <v>373</v>
      </c>
      <c r="N18" s="49"/>
      <c r="O18" s="49"/>
      <c r="P18" s="49"/>
      <c r="Q18" s="49"/>
      <c r="R18" s="49"/>
      <c r="S18" s="49"/>
      <c r="T18" s="49"/>
      <c r="U18" s="49"/>
      <c r="V18" s="49"/>
      <c r="W18" s="49"/>
      <c r="X18" s="49"/>
      <c r="Y18" s="49"/>
      <c r="Z18" s="49"/>
    </row>
    <row r="19" spans="1:26" ht="15.75" customHeight="1">
      <c r="A19" t="s" s="3">
        <v>385</v>
      </c>
      <c r="B19" t="s" s="3">
        <v>366</v>
      </c>
      <c r="C19" s="346">
        <v>1676790</v>
      </c>
      <c r="D19" s="366">
        <v>45717.291666666664</v>
      </c>
      <c r="E19" s="386">
        <v>1219000</v>
      </c>
      <c r="F19" s="406">
        <v>1705006</v>
      </c>
      <c r="G19" s="426">
        <v>5000000000</v>
      </c>
      <c r="H19" s="446"/>
      <c r="I19" s="466">
        <v>3500</v>
      </c>
      <c r="J19" s="486"/>
      <c r="K19" s="506">
        <v>5000000000</v>
      </c>
      <c r="L19" s="526">
        <v>3500</v>
      </c>
      <c r="M19" t="s" s="3">
        <v>362</v>
      </c>
      <c r="N19" s="49"/>
      <c r="O19" s="49"/>
      <c r="P19" s="49"/>
      <c r="Q19" s="49"/>
      <c r="R19" s="49"/>
      <c r="S19" s="49"/>
      <c r="T19" s="49"/>
      <c r="U19" s="49"/>
      <c r="V19" s="49"/>
      <c r="W19" s="49"/>
      <c r="X19" s="49"/>
      <c r="Y19" s="49"/>
      <c r="Z19" s="49"/>
    </row>
    <row r="20" spans="1:26" ht="15.75" customHeight="1">
      <c r="A20" t="s" s="3">
        <v>386</v>
      </c>
      <c r="B20" t="s" s="3">
        <v>387</v>
      </c>
      <c r="C20" s="347">
        <v>595468</v>
      </c>
      <c r="D20" s="367">
        <v>46113.291666666664</v>
      </c>
      <c r="E20" s="387">
        <v>595468</v>
      </c>
      <c r="F20" s="407">
        <v>981512</v>
      </c>
      <c r="G20" s="427">
        <v>4700000000</v>
      </c>
      <c r="H20" s="447"/>
      <c r="I20" s="467">
        <v>6500</v>
      </c>
      <c r="J20" s="487"/>
      <c r="K20" s="507">
        <v>4700000000</v>
      </c>
      <c r="L20" s="527">
        <v>6500</v>
      </c>
      <c r="M20" t="s" s="3">
        <v>362</v>
      </c>
      <c r="N20" s="49"/>
      <c r="O20" s="49"/>
      <c r="P20" s="49"/>
      <c r="Q20" s="49"/>
      <c r="R20" s="49"/>
      <c r="S20" s="49"/>
      <c r="T20" s="49"/>
      <c r="U20" s="49"/>
      <c r="V20" s="49"/>
      <c r="W20" s="49"/>
      <c r="X20" s="49"/>
      <c r="Y20" s="49"/>
      <c r="Z20" s="49"/>
    </row>
    <row r="21" spans="1:26" ht="15.75" customHeight="1">
      <c r="A21" t="s" s="1">
        <v>388</v>
      </c>
      <c r="B21" t="s" s="1">
        <v>366</v>
      </c>
      <c r="C21" s="348">
        <v>1439274</v>
      </c>
      <c r="D21" s="368">
        <v>45658.291666666664</v>
      </c>
      <c r="E21" s="388">
        <v>1220000</v>
      </c>
      <c r="F21" s="408">
        <v>1572702</v>
      </c>
      <c r="G21" s="428">
        <v>4600000000</v>
      </c>
      <c r="H21" s="448"/>
      <c r="I21" s="468">
        <v>3300</v>
      </c>
      <c r="J21" s="488"/>
      <c r="K21" s="508">
        <v>4600000000</v>
      </c>
      <c r="L21" s="528">
        <v>3300</v>
      </c>
      <c r="M21" t="s" s="49">
        <v>362</v>
      </c>
      <c r="N21" s="49"/>
      <c r="O21" s="49"/>
      <c r="P21" s="49"/>
      <c r="Q21" s="49"/>
      <c r="R21" s="49"/>
      <c r="S21" s="49"/>
      <c r="T21" s="49"/>
      <c r="U21" s="49"/>
      <c r="V21" s="49"/>
      <c r="W21" s="49"/>
      <c r="X21" s="49"/>
      <c r="Y21" s="49"/>
      <c r="Z21" s="49"/>
    </row>
    <row r="22" spans="1:26" ht="15.75" customHeight="1">
      <c r="A22" t="s" s="1">
        <v>389</v>
      </c>
      <c r="B22" t="s" s="1">
        <v>390</v>
      </c>
      <c r="C22" s="349">
        <v>168893</v>
      </c>
      <c r="D22" s="369">
        <v>45383.291666666664</v>
      </c>
      <c r="E22" s="389">
        <v>61000</v>
      </c>
      <c r="F22" s="409">
        <v>380000</v>
      </c>
      <c r="G22" s="429">
        <v>3300000000</v>
      </c>
      <c r="H22" s="449">
        <v>2.02</v>
      </c>
      <c r="I22" s="469">
        <v>26700</v>
      </c>
      <c r="J22" s="489">
        <v>2.56</v>
      </c>
      <c r="K22" s="509">
        <v>4500000000</v>
      </c>
      <c r="L22" s="529">
        <v>34200</v>
      </c>
      <c r="M22" t="s" s="49">
        <v>362</v>
      </c>
      <c r="N22" s="49"/>
      <c r="O22" s="49"/>
      <c r="P22" s="49"/>
      <c r="Q22" s="49"/>
      <c r="R22" s="49"/>
      <c r="S22" s="49"/>
      <c r="T22" s="49"/>
      <c r="U22" s="49"/>
      <c r="V22" s="49"/>
      <c r="W22" s="49"/>
      <c r="X22" s="49"/>
      <c r="Y22" s="49"/>
      <c r="Z22" s="49"/>
    </row>
    <row r="23" spans="1:26" ht="15.5">
      <c r="A23" t="s" s="1">
        <v>391</v>
      </c>
      <c r="B23" t="s" s="1">
        <v>392</v>
      </c>
      <c r="C23" s="350">
        <v>628407</v>
      </c>
      <c r="D23" s="370">
        <v>45962.291666666664</v>
      </c>
      <c r="E23" s="390">
        <v>529000</v>
      </c>
      <c r="F23" s="410">
        <v>689110</v>
      </c>
      <c r="G23" s="430">
        <v>4400000000</v>
      </c>
      <c r="H23" s="450"/>
      <c r="I23" s="470">
        <v>7400</v>
      </c>
      <c r="J23" s="490"/>
      <c r="K23" s="510">
        <v>4400000000</v>
      </c>
      <c r="L23" s="530">
        <v>7400</v>
      </c>
      <c r="M23" t="s" s="49">
        <v>362</v>
      </c>
      <c r="N23" s="49"/>
      <c r="O23" s="49"/>
      <c r="P23" s="49"/>
      <c r="Q23" s="49"/>
      <c r="R23" s="49"/>
      <c r="S23" s="49"/>
      <c r="T23" s="49"/>
      <c r="U23" s="49"/>
      <c r="V23" s="49"/>
      <c r="W23" s="49"/>
      <c r="X23" s="49"/>
      <c r="Y23" s="49"/>
      <c r="Z23" s="49"/>
    </row>
    <row r="24" spans="1:26" ht="15.5">
      <c r="A24" t="s" s="1">
        <v>393</v>
      </c>
      <c r="B24" t="s" s="1">
        <v>394</v>
      </c>
      <c r="C24" s="351">
        <v>928192</v>
      </c>
      <c r="D24" s="371">
        <v>44986.291666666664</v>
      </c>
      <c r="E24" s="391">
        <v>660</v>
      </c>
      <c r="F24" s="411">
        <v>1168708</v>
      </c>
      <c r="G24" s="431">
        <v>2800000000</v>
      </c>
      <c r="H24" s="451">
        <v>0.92</v>
      </c>
      <c r="I24" s="471">
        <v>5200</v>
      </c>
      <c r="J24" s="491">
        <v>0.99</v>
      </c>
      <c r="K24" s="511">
        <v>4200000000</v>
      </c>
      <c r="L24" s="531">
        <v>7800</v>
      </c>
      <c r="M24" t="s" s="49">
        <v>395</v>
      </c>
      <c r="N24" s="49"/>
      <c r="O24" s="49"/>
      <c r="P24" s="49"/>
      <c r="Q24" s="49"/>
      <c r="R24" s="49"/>
      <c r="S24" s="49"/>
      <c r="T24" s="49"/>
      <c r="U24" s="49"/>
      <c r="V24" s="49"/>
      <c r="W24" s="49"/>
      <c r="X24" s="49"/>
      <c r="Y24" s="49"/>
      <c r="Z24" s="49"/>
    </row>
    <row r="25" spans="1:26" ht="77.5">
      <c r="A25" t="s" s="17">
        <v>396</v>
      </c>
      <c r="B25" t="s" s="17">
        <v>366</v>
      </c>
      <c r="C25" s="352">
        <v>878377</v>
      </c>
      <c r="D25" s="372">
        <v>45323.291666666664</v>
      </c>
      <c r="E25" s="392">
        <v>746000</v>
      </c>
      <c r="F25" s="412">
        <v>968430</v>
      </c>
      <c r="G25" s="432">
        <v>4000000000</v>
      </c>
      <c r="H25" s="452"/>
      <c r="I25" s="472">
        <v>4900</v>
      </c>
      <c r="J25" s="492"/>
      <c r="K25" s="512">
        <v>4000000000</v>
      </c>
      <c r="L25" s="532">
        <v>4900</v>
      </c>
      <c r="M25" t="s" s="49">
        <v>362</v>
      </c>
      <c r="N25" s="49"/>
      <c r="O25" s="49"/>
      <c r="P25" s="49"/>
      <c r="Q25" s="49"/>
      <c r="R25" s="49"/>
      <c r="S25" s="49"/>
      <c r="T25" s="49"/>
      <c r="U25" s="49"/>
      <c r="V25" s="49"/>
      <c r="W25" s="49"/>
      <c r="X25" s="49"/>
      <c r="Y25" s="49"/>
      <c r="Z25" s="49"/>
    </row>
    <row r="26" spans="1:26" ht="15.5">
      <c r="A26" s="49"/>
      <c r="B26" s="49"/>
      <c r="C26" s="64"/>
      <c r="D26" s="65"/>
      <c r="E26" s="65"/>
      <c r="F26" s="1"/>
      <c r="G26" s="1"/>
      <c r="H26" s="49"/>
      <c r="I26" s="49"/>
      <c r="J26" s="49"/>
      <c r="K26" s="49"/>
      <c r="L26" s="49"/>
      <c r="M26" s="49"/>
      <c r="N26" s="49"/>
      <c r="O26" s="49"/>
      <c r="P26" s="49"/>
      <c r="Q26" s="49"/>
      <c r="R26" s="49"/>
      <c r="S26" s="49"/>
      <c r="T26" s="49"/>
      <c r="U26" s="49"/>
      <c r="V26" s="49"/>
      <c r="W26" s="49"/>
      <c r="X26" s="49"/>
      <c r="Y26" s="49"/>
      <c r="Z26" s="49"/>
    </row>
    <row r="27" spans="1:26" ht="15.5">
      <c r="A27" s="49"/>
      <c r="B27" s="49"/>
      <c r="C27" s="64"/>
      <c r="D27" s="65"/>
      <c r="E27" s="65"/>
      <c r="F27" s="1"/>
      <c r="G27" s="1"/>
      <c r="H27" s="49"/>
      <c r="I27" s="49"/>
      <c r="J27" s="49"/>
      <c r="K27" s="49"/>
      <c r="L27" s="49"/>
      <c r="M27" s="49"/>
      <c r="N27" s="49"/>
      <c r="O27" s="49"/>
      <c r="P27" s="49"/>
      <c r="Q27" s="49"/>
      <c r="R27" s="49"/>
      <c r="S27" s="49"/>
      <c r="T27" s="49"/>
      <c r="U27" s="49"/>
      <c r="V27" s="49"/>
      <c r="W27" s="49"/>
      <c r="X27" s="49"/>
      <c r="Y27" s="49"/>
      <c r="Z27" s="49"/>
    </row>
    <row r="28" spans="1:26" ht="15.5">
      <c r="A28" s="49"/>
      <c r="B28" s="49"/>
      <c r="C28" s="64"/>
      <c r="D28" s="65"/>
      <c r="E28" s="65"/>
      <c r="F28" s="1"/>
      <c r="G28" s="1"/>
      <c r="H28" s="49"/>
      <c r="I28" s="49"/>
      <c r="J28" s="49"/>
      <c r="K28" s="49"/>
      <c r="L28" s="49"/>
      <c r="M28" s="49"/>
      <c r="N28" s="49"/>
      <c r="O28" s="49"/>
      <c r="P28" s="49"/>
      <c r="Q28" s="49"/>
      <c r="R28" s="49"/>
      <c r="S28" s="49"/>
      <c r="T28" s="49"/>
      <c r="U28" s="49"/>
      <c r="V28" s="49"/>
      <c r="W28" s="49"/>
      <c r="X28" s="49"/>
      <c r="Y28" s="49"/>
      <c r="Z28" s="49"/>
    </row>
    <row r="29" spans="1:26" ht="15.5">
      <c r="A29" s="49"/>
      <c r="B29" s="49"/>
      <c r="C29" s="64"/>
      <c r="D29" s="65"/>
      <c r="E29" s="65"/>
      <c r="F29" s="1"/>
      <c r="G29" s="1"/>
      <c r="H29" s="49"/>
      <c r="I29" s="49"/>
      <c r="J29" s="49"/>
      <c r="K29" s="49"/>
      <c r="L29" s="49"/>
      <c r="M29" s="49"/>
      <c r="N29" s="49"/>
      <c r="O29" s="49"/>
      <c r="P29" s="49"/>
      <c r="Q29" s="49"/>
      <c r="R29" s="49"/>
      <c r="S29" s="49"/>
      <c r="T29" s="49"/>
      <c r="U29" s="49"/>
      <c r="V29" s="49"/>
      <c r="W29" s="49"/>
      <c r="X29" s="49"/>
      <c r="Y29" s="49"/>
      <c r="Z29" s="49"/>
    </row>
    <row r="30" spans="1:26" ht="15.5">
      <c r="A30" s="49"/>
      <c r="B30" s="49"/>
      <c r="C30" s="64"/>
      <c r="D30" s="65"/>
      <c r="E30" s="65"/>
      <c r="F30" s="1"/>
      <c r="G30" s="1"/>
      <c r="H30" s="49"/>
      <c r="I30" s="49"/>
      <c r="J30" s="49"/>
      <c r="K30" s="49"/>
      <c r="L30" s="49"/>
      <c r="M30" s="49"/>
      <c r="N30" s="49"/>
      <c r="O30" s="49"/>
      <c r="P30" s="49"/>
      <c r="Q30" s="49"/>
      <c r="R30" s="49"/>
      <c r="S30" s="49"/>
      <c r="T30" s="49"/>
      <c r="U30" s="49"/>
      <c r="V30" s="49"/>
      <c r="W30" s="49"/>
      <c r="X30" s="49"/>
      <c r="Y30" s="49"/>
      <c r="Z30" s="49"/>
    </row>
    <row r="31" spans="1:26" ht="15.5">
      <c r="A31" s="49"/>
      <c r="B31" s="49"/>
      <c r="C31" s="49"/>
      <c r="D31" s="65"/>
      <c r="E31" s="65"/>
      <c r="F31" s="1"/>
      <c r="G31" s="1"/>
      <c r="H31" s="49"/>
      <c r="I31" s="49"/>
      <c r="J31" s="49"/>
      <c r="K31" s="49"/>
      <c r="L31" s="49"/>
      <c r="M31" s="49"/>
      <c r="N31" s="49"/>
      <c r="O31" s="49"/>
      <c r="P31" s="49"/>
      <c r="Q31" s="49"/>
      <c r="R31" s="49"/>
      <c r="S31" s="49"/>
      <c r="T31" s="49"/>
      <c r="U31" s="49"/>
      <c r="V31" s="49"/>
      <c r="W31" s="49"/>
      <c r="X31" s="49"/>
      <c r="Y31" s="49"/>
      <c r="Z31" s="49"/>
    </row>
    <row r="32" spans="1:26" ht="15.5">
      <c r="A32" s="49"/>
      <c r="B32" s="49"/>
      <c r="C32" s="49"/>
      <c r="D32" s="65"/>
      <c r="E32" s="65"/>
      <c r="F32" s="1"/>
      <c r="G32" s="1"/>
      <c r="H32" s="49"/>
      <c r="I32" s="49"/>
      <c r="J32" s="49"/>
      <c r="K32" s="49"/>
      <c r="L32" s="49"/>
      <c r="M32" s="49"/>
      <c r="N32" s="49"/>
      <c r="O32" s="49"/>
      <c r="P32" s="49"/>
      <c r="Q32" s="49"/>
      <c r="R32" s="49"/>
      <c r="S32" s="49"/>
      <c r="T32" s="49"/>
      <c r="U32" s="49"/>
      <c r="V32" s="49"/>
      <c r="W32" s="49"/>
      <c r="X32" s="49"/>
      <c r="Y32" s="49"/>
      <c r="Z32" s="49"/>
    </row>
    <row r="33" spans="1:26" ht="77.5">
      <c r="A33" s="17"/>
      <c r="B33" s="17"/>
      <c r="C33" s="18"/>
      <c r="D33" s="18"/>
      <c r="E33" s="18"/>
      <c r="F33" s="1"/>
      <c r="G33" s="1"/>
      <c r="H33" s="49"/>
      <c r="I33" s="49"/>
      <c r="J33" s="49"/>
      <c r="K33" s="49"/>
      <c r="L33" s="49"/>
      <c r="M33" s="49"/>
      <c r="N33" s="49"/>
      <c r="O33" s="49"/>
      <c r="P33" s="49"/>
      <c r="Q33" s="49"/>
      <c r="R33" s="49"/>
      <c r="S33" s="49"/>
      <c r="T33" s="49"/>
      <c r="U33" s="49"/>
      <c r="V33" s="49"/>
      <c r="W33" s="49"/>
      <c r="X33" s="49"/>
      <c r="Y33" s="49"/>
      <c r="Z33" s="49"/>
    </row>
    <row r="34" spans="1:26" ht="15.5">
      <c r="A34" s="49"/>
      <c r="B34" s="49"/>
      <c r="C34" s="64"/>
      <c r="D34" s="65"/>
      <c r="E34" s="65"/>
      <c r="F34" s="1"/>
      <c r="G34" s="1"/>
      <c r="H34" s="49"/>
      <c r="I34" s="49"/>
      <c r="J34" s="49"/>
      <c r="K34" s="49"/>
      <c r="L34" s="49"/>
      <c r="M34" s="49"/>
      <c r="N34" s="49"/>
      <c r="O34" s="49"/>
      <c r="P34" s="49"/>
      <c r="Q34" s="49"/>
      <c r="R34" s="49"/>
      <c r="S34" s="49"/>
      <c r="T34" s="49"/>
      <c r="U34" s="49"/>
      <c r="V34" s="49"/>
      <c r="W34" s="49"/>
      <c r="X34" s="49"/>
      <c r="Y34" s="49"/>
      <c r="Z34" s="49"/>
    </row>
    <row r="35" spans="1:26" ht="15.5">
      <c r="A35" s="49"/>
      <c r="B35" s="49"/>
      <c r="C35" s="64"/>
      <c r="D35" s="65"/>
      <c r="E35" s="65"/>
      <c r="F35" s="1"/>
      <c r="G35" s="1"/>
      <c r="H35" s="49"/>
      <c r="I35" s="49"/>
      <c r="J35" s="49"/>
      <c r="K35" s="49"/>
      <c r="L35" s="49"/>
      <c r="M35" s="49"/>
      <c r="N35" s="49"/>
      <c r="O35" s="49"/>
      <c r="P35" s="49"/>
      <c r="Q35" s="49"/>
      <c r="R35" s="49"/>
      <c r="S35" s="49"/>
      <c r="T35" s="49"/>
      <c r="U35" s="49"/>
      <c r="V35" s="49"/>
      <c r="W35" s="49"/>
      <c r="X35" s="49"/>
      <c r="Y35" s="49"/>
      <c r="Z35" s="49"/>
    </row>
    <row r="36" spans="1:26" ht="15.5">
      <c r="A36" s="49"/>
      <c r="B36" s="49"/>
      <c r="C36" s="64"/>
      <c r="D36" s="65"/>
      <c r="E36" s="65"/>
      <c r="F36" s="1"/>
      <c r="G36" s="1"/>
      <c r="H36" s="49"/>
      <c r="I36" s="49"/>
      <c r="J36" s="49"/>
      <c r="K36" s="49"/>
      <c r="L36" s="49"/>
      <c r="M36" s="49"/>
      <c r="N36" s="49"/>
      <c r="O36" s="49"/>
      <c r="P36" s="49"/>
      <c r="Q36" s="49"/>
      <c r="R36" s="49"/>
      <c r="S36" s="49"/>
      <c r="T36" s="49"/>
      <c r="U36" s="49"/>
      <c r="V36" s="49"/>
      <c r="W36" s="49"/>
      <c r="X36" s="49"/>
      <c r="Y36" s="49"/>
      <c r="Z36" s="49"/>
    </row>
    <row r="37" spans="1:26" ht="15.5">
      <c r="A37" s="49"/>
      <c r="B37" s="49"/>
      <c r="C37" s="64"/>
      <c r="D37" s="65"/>
      <c r="E37" s="65"/>
      <c r="F37" s="1"/>
      <c r="G37" s="1"/>
      <c r="H37" s="49"/>
      <c r="I37" s="49"/>
      <c r="J37" s="49"/>
      <c r="K37" s="49"/>
      <c r="L37" s="49"/>
      <c r="M37" s="49"/>
      <c r="N37" s="49"/>
      <c r="O37" s="49"/>
      <c r="P37" s="49"/>
      <c r="Q37" s="49"/>
      <c r="R37" s="49"/>
      <c r="S37" s="49"/>
      <c r="T37" s="49"/>
      <c r="U37" s="49"/>
      <c r="V37" s="49"/>
      <c r="W37" s="49"/>
      <c r="X37" s="49"/>
      <c r="Y37" s="49"/>
      <c r="Z37" s="49"/>
    </row>
    <row r="38" spans="1:26" ht="15.5">
      <c r="A38" s="49"/>
      <c r="B38" s="49"/>
      <c r="C38" s="64"/>
      <c r="D38" s="65"/>
      <c r="E38" s="65"/>
      <c r="F38" s="1"/>
      <c r="G38" s="1"/>
      <c r="H38" s="49"/>
      <c r="I38" s="49"/>
      <c r="J38" s="49"/>
      <c r="K38" s="49"/>
      <c r="L38" s="49"/>
      <c r="M38" s="49"/>
      <c r="N38" s="49"/>
      <c r="O38" s="49"/>
      <c r="P38" s="49"/>
      <c r="Q38" s="49"/>
      <c r="R38" s="49"/>
      <c r="S38" s="49"/>
      <c r="T38" s="49"/>
      <c r="U38" s="49"/>
      <c r="V38" s="49"/>
      <c r="W38" s="49"/>
      <c r="X38" s="49"/>
      <c r="Y38" s="49"/>
      <c r="Z38" s="49"/>
    </row>
    <row r="39" spans="1:26" ht="15.5">
      <c r="A39" s="49"/>
      <c r="B39" s="49"/>
      <c r="C39" s="49"/>
      <c r="D39" s="65"/>
      <c r="E39" s="65"/>
      <c r="F39" s="1"/>
      <c r="G39" s="1"/>
      <c r="H39" s="49"/>
      <c r="I39" s="49"/>
      <c r="J39" s="49"/>
      <c r="K39" s="49"/>
      <c r="L39" s="49"/>
      <c r="M39" s="49"/>
      <c r="N39" s="49"/>
      <c r="O39" s="49"/>
      <c r="P39" s="49"/>
      <c r="Q39" s="49"/>
      <c r="R39" s="49"/>
      <c r="S39" s="49"/>
      <c r="T39" s="49"/>
      <c r="U39" s="49"/>
      <c r="V39" s="49"/>
      <c r="W39" s="49"/>
      <c r="X39" s="49"/>
      <c r="Y39" s="49"/>
      <c r="Z39" s="49"/>
    </row>
    <row r="40" spans="1:26" ht="15.5">
      <c r="A40" s="49"/>
      <c r="B40" s="49"/>
      <c r="C40" s="49"/>
      <c r="D40" s="65"/>
      <c r="E40" s="65"/>
      <c r="F40" s="1"/>
      <c r="G40" s="1"/>
      <c r="H40" s="49"/>
      <c r="I40" s="49"/>
      <c r="J40" s="49"/>
      <c r="K40" s="49"/>
      <c r="L40" s="49"/>
      <c r="M40" s="49"/>
      <c r="N40" s="49"/>
      <c r="O40" s="49"/>
      <c r="P40" s="49"/>
      <c r="Q40" s="49"/>
      <c r="R40" s="49"/>
      <c r="S40" s="49"/>
      <c r="T40" s="49"/>
      <c r="U40" s="49"/>
      <c r="V40" s="49"/>
      <c r="W40" s="49"/>
      <c r="X40" s="49"/>
      <c r="Y40" s="49"/>
      <c r="Z40" s="49"/>
    </row>
    <row r="41" spans="1:26" ht="77.5">
      <c r="A41" s="17"/>
      <c r="B41" s="17"/>
      <c r="C41" s="18"/>
      <c r="D41" s="18"/>
      <c r="E41" s="18"/>
      <c r="F41" s="1"/>
      <c r="G41" s="1"/>
      <c r="H41" s="49"/>
      <c r="I41" s="49"/>
      <c r="J41" s="49"/>
      <c r="K41" s="49"/>
      <c r="L41" s="49"/>
      <c r="M41" s="49"/>
      <c r="N41" s="49"/>
      <c r="O41" s="49"/>
      <c r="P41" s="49"/>
      <c r="Q41" s="49"/>
      <c r="R41" s="49"/>
      <c r="S41" s="49"/>
      <c r="T41" s="49"/>
      <c r="U41" s="49"/>
      <c r="V41" s="49"/>
      <c r="W41" s="49"/>
      <c r="X41" s="49"/>
      <c r="Y41" s="49"/>
      <c r="Z41" s="49"/>
    </row>
    <row r="42" spans="1:26" ht="15.5">
      <c r="A42" s="49"/>
      <c r="B42" s="49"/>
      <c r="C42" s="64"/>
      <c r="D42" s="65"/>
      <c r="E42" s="65"/>
      <c r="F42" s="1"/>
      <c r="G42" s="1"/>
      <c r="H42" s="49"/>
      <c r="I42" s="49"/>
      <c r="J42" s="49"/>
      <c r="K42" s="49"/>
      <c r="L42" s="49"/>
      <c r="M42" s="49"/>
      <c r="N42" s="49"/>
      <c r="O42" s="49"/>
      <c r="P42" s="49"/>
      <c r="Q42" s="49"/>
      <c r="R42" s="49"/>
      <c r="S42" s="49"/>
      <c r="T42" s="49"/>
      <c r="U42" s="49"/>
      <c r="V42" s="49"/>
      <c r="W42" s="49"/>
      <c r="X42" s="49"/>
      <c r="Y42" s="49"/>
      <c r="Z42" s="49"/>
    </row>
    <row r="43" spans="1:26" ht="15.5">
      <c r="A43" s="49"/>
      <c r="B43" s="49"/>
      <c r="C43" s="64"/>
      <c r="D43" s="65"/>
      <c r="E43" s="65"/>
      <c r="F43" s="1"/>
      <c r="G43" s="1"/>
      <c r="H43" s="49"/>
      <c r="I43" s="49"/>
      <c r="J43" s="49"/>
      <c r="K43" s="49"/>
      <c r="L43" s="49"/>
      <c r="M43" s="49"/>
      <c r="N43" s="49"/>
      <c r="O43" s="49"/>
      <c r="P43" s="49"/>
      <c r="Q43" s="49"/>
      <c r="R43" s="49"/>
      <c r="S43" s="49"/>
      <c r="T43" s="49"/>
      <c r="U43" s="49"/>
      <c r="V43" s="49"/>
      <c r="W43" s="49"/>
      <c r="X43" s="49"/>
      <c r="Y43" s="49"/>
      <c r="Z43" s="49"/>
    </row>
    <row r="44" spans="1:26" ht="15.5">
      <c r="A44" s="49"/>
      <c r="B44" s="49"/>
      <c r="C44" s="64"/>
      <c r="D44" s="65"/>
      <c r="E44" s="65"/>
      <c r="F44" s="1"/>
      <c r="G44" s="1"/>
      <c r="H44" s="49"/>
      <c r="I44" s="49"/>
      <c r="J44" s="49"/>
      <c r="K44" s="49"/>
      <c r="L44" s="49"/>
      <c r="M44" s="49"/>
      <c r="N44" s="49"/>
      <c r="O44" s="49"/>
      <c r="P44" s="49"/>
      <c r="Q44" s="49"/>
      <c r="R44" s="49"/>
      <c r="S44" s="49"/>
      <c r="T44" s="49"/>
      <c r="U44" s="49"/>
      <c r="V44" s="49"/>
      <c r="W44" s="49"/>
      <c r="X44" s="49"/>
      <c r="Y44" s="49"/>
      <c r="Z44" s="49"/>
    </row>
    <row r="45" spans="1:26" ht="15.5">
      <c r="A45" s="49"/>
      <c r="B45" s="49"/>
      <c r="C45" s="64"/>
      <c r="D45" s="65"/>
      <c r="E45" s="65"/>
      <c r="F45" s="1"/>
      <c r="G45" s="1"/>
      <c r="H45" s="49"/>
      <c r="I45" s="49"/>
      <c r="J45" s="49"/>
      <c r="K45" s="49"/>
      <c r="L45" s="49"/>
      <c r="M45" s="49"/>
      <c r="N45" s="49"/>
      <c r="O45" s="49"/>
      <c r="P45" s="49"/>
      <c r="Q45" s="49"/>
      <c r="R45" s="49"/>
      <c r="S45" s="49"/>
      <c r="T45" s="49"/>
      <c r="U45" s="49"/>
      <c r="V45" s="49"/>
      <c r="W45" s="49"/>
      <c r="X45" s="49"/>
      <c r="Y45" s="49"/>
      <c r="Z45" s="49"/>
    </row>
    <row r="46" spans="1:26" ht="15.5">
      <c r="A46" s="49"/>
      <c r="B46" s="49"/>
      <c r="C46" s="64"/>
      <c r="D46" s="65"/>
      <c r="E46" s="65"/>
      <c r="F46" s="1"/>
      <c r="G46" s="1"/>
      <c r="H46" s="49"/>
      <c r="I46" s="49"/>
      <c r="J46" s="49"/>
      <c r="K46" s="49"/>
      <c r="L46" s="49"/>
      <c r="M46" s="49"/>
      <c r="N46" s="49"/>
      <c r="O46" s="49"/>
      <c r="P46" s="49"/>
      <c r="Q46" s="49"/>
      <c r="R46" s="49"/>
      <c r="S46" s="49"/>
      <c r="T46" s="49"/>
      <c r="U46" s="49"/>
      <c r="V46" s="49"/>
      <c r="W46" s="49"/>
      <c r="X46" s="49"/>
      <c r="Y46" s="49"/>
      <c r="Z46" s="49"/>
    </row>
    <row r="47" spans="1:26" ht="15.5">
      <c r="A47" s="1"/>
      <c r="B47" s="1"/>
      <c r="C47" s="1"/>
      <c r="D47" s="1"/>
      <c r="E47" s="1"/>
      <c r="F47" s="1"/>
      <c r="G47" s="1"/>
      <c r="H47" s="49"/>
      <c r="I47" s="49"/>
      <c r="J47" s="49"/>
      <c r="K47" s="49"/>
      <c r="L47" s="49"/>
      <c r="M47" s="49"/>
      <c r="N47" s="49"/>
      <c r="O47" s="49"/>
      <c r="P47" s="49"/>
      <c r="Q47" s="49"/>
      <c r="R47" s="49"/>
      <c r="S47" s="49"/>
      <c r="T47" s="49"/>
      <c r="U47" s="49"/>
      <c r="V47" s="49"/>
      <c r="W47" s="49"/>
      <c r="X47" s="49"/>
      <c r="Y47" s="49"/>
      <c r="Z47" s="49"/>
    </row>
    <row r="48" spans="1:26" ht="15.5">
      <c r="A48" s="1"/>
      <c r="B48" s="1"/>
      <c r="C48" s="1"/>
      <c r="D48" s="1"/>
      <c r="E48" s="1"/>
      <c r="F48" s="1"/>
      <c r="G48" s="1"/>
      <c r="H48" s="49"/>
      <c r="I48" s="49"/>
      <c r="J48" s="49"/>
      <c r="K48" s="49"/>
      <c r="L48" s="49"/>
      <c r="M48" s="49"/>
      <c r="N48" s="49"/>
      <c r="O48" s="49"/>
      <c r="P48" s="49"/>
      <c r="Q48" s="49"/>
      <c r="R48" s="49"/>
      <c r="S48" s="49"/>
      <c r="T48" s="49"/>
      <c r="U48" s="49"/>
      <c r="V48" s="49"/>
      <c r="W48" s="49"/>
      <c r="X48" s="49"/>
      <c r="Y48" s="49"/>
      <c r="Z48" s="49"/>
    </row>
    <row r="49" spans="1:26" ht="15.5">
      <c r="A49" s="1"/>
      <c r="B49" s="1"/>
      <c r="C49" s="1"/>
      <c r="D49" s="1"/>
      <c r="E49" s="1"/>
      <c r="F49" s="1"/>
      <c r="G49" s="1"/>
      <c r="H49" s="49"/>
      <c r="I49" s="49"/>
      <c r="J49" s="49"/>
      <c r="K49" s="49"/>
      <c r="L49" s="49"/>
      <c r="M49" s="49"/>
      <c r="N49" s="49"/>
      <c r="O49" s="49"/>
      <c r="P49" s="49"/>
      <c r="Q49" s="49"/>
      <c r="R49" s="49"/>
      <c r="S49" s="49"/>
      <c r="T49" s="49"/>
      <c r="U49" s="49"/>
      <c r="V49" s="49"/>
      <c r="W49" s="49"/>
      <c r="X49" s="49"/>
      <c r="Y49" s="49"/>
      <c r="Z49" s="49"/>
    </row>
    <row r="50" spans="1:26" ht="15.5">
      <c r="A50" s="1"/>
      <c r="B50" s="1"/>
      <c r="C50" s="1"/>
      <c r="D50" s="1"/>
      <c r="E50" s="1"/>
      <c r="F50" s="1"/>
      <c r="G50" s="1"/>
      <c r="H50" s="49"/>
      <c r="I50" s="49"/>
      <c r="J50" s="49"/>
      <c r="K50" s="49"/>
      <c r="L50" s="49"/>
      <c r="M50" s="49"/>
      <c r="N50" s="49"/>
      <c r="O50" s="49"/>
      <c r="P50" s="49"/>
      <c r="Q50" s="49"/>
      <c r="R50" s="49"/>
      <c r="S50" s="49"/>
      <c r="T50" s="49"/>
      <c r="U50" s="49"/>
      <c r="V50" s="49"/>
      <c r="W50" s="49"/>
      <c r="X50" s="49"/>
      <c r="Y50" s="49"/>
      <c r="Z50" s="49"/>
    </row>
    <row r="51" spans="1:26" ht="15.5">
      <c r="A51" s="1"/>
      <c r="B51" s="1"/>
      <c r="C51" s="1"/>
      <c r="D51" s="1"/>
      <c r="E51" s="1"/>
      <c r="F51" s="1"/>
      <c r="G51" s="1"/>
      <c r="H51" s="49"/>
      <c r="I51" s="49"/>
      <c r="J51" s="49"/>
      <c r="K51" s="49"/>
      <c r="L51" s="49"/>
      <c r="M51" s="49"/>
      <c r="N51" s="49"/>
      <c r="O51" s="49"/>
      <c r="P51" s="49"/>
      <c r="Q51" s="49"/>
      <c r="R51" s="49"/>
      <c r="S51" s="49"/>
      <c r="T51" s="49"/>
      <c r="U51" s="49"/>
      <c r="V51" s="49"/>
      <c r="W51" s="49"/>
      <c r="X51" s="49"/>
      <c r="Y51" s="49"/>
      <c r="Z51" s="49"/>
    </row>
    <row r="52" spans="1:26" ht="15.5">
      <c r="A52" s="1"/>
      <c r="B52" s="1"/>
      <c r="C52" s="1"/>
      <c r="D52" s="1"/>
      <c r="E52" s="1"/>
      <c r="F52" s="1"/>
      <c r="G52" s="1"/>
      <c r="H52" s="49"/>
      <c r="I52" s="49"/>
      <c r="J52" s="49"/>
      <c r="K52" s="49"/>
      <c r="L52" s="49"/>
      <c r="M52" s="49"/>
      <c r="N52" s="49"/>
      <c r="O52" s="49"/>
      <c r="P52" s="49"/>
      <c r="Q52" s="49"/>
      <c r="R52" s="49"/>
      <c r="S52" s="49"/>
      <c r="T52" s="49"/>
      <c r="U52" s="49"/>
      <c r="V52" s="49"/>
      <c r="W52" s="49"/>
      <c r="X52" s="49"/>
      <c r="Y52" s="49"/>
      <c r="Z52" s="49"/>
    </row>
    <row r="53" spans="1:26" ht="15.5">
      <c r="A53" s="1"/>
      <c r="B53" s="1"/>
      <c r="C53" s="1"/>
      <c r="D53" s="1"/>
      <c r="E53" s="1"/>
      <c r="F53" s="1"/>
      <c r="G53" s="1"/>
      <c r="H53" s="49"/>
      <c r="I53" s="49"/>
      <c r="J53" s="49"/>
      <c r="K53" s="49"/>
      <c r="L53" s="49"/>
      <c r="M53" s="49"/>
      <c r="N53" s="49"/>
      <c r="O53" s="49"/>
      <c r="P53" s="49"/>
      <c r="Q53" s="49"/>
      <c r="R53" s="49"/>
      <c r="S53" s="49"/>
      <c r="T53" s="49"/>
      <c r="U53" s="49"/>
      <c r="V53" s="49"/>
      <c r="W53" s="49"/>
      <c r="X53" s="49"/>
      <c r="Y53" s="49"/>
      <c r="Z53" s="49"/>
    </row>
    <row r="54" spans="1:26" ht="15.5">
      <c r="A54" s="1"/>
      <c r="B54" s="1"/>
      <c r="C54" s="1"/>
      <c r="D54" s="1"/>
      <c r="E54" s="1"/>
      <c r="F54" s="1"/>
      <c r="G54" s="1"/>
      <c r="H54" s="49"/>
      <c r="I54" s="49"/>
      <c r="J54" s="49"/>
      <c r="K54" s="49"/>
      <c r="L54" s="49"/>
      <c r="M54" s="49"/>
      <c r="N54" s="49"/>
      <c r="O54" s="49"/>
      <c r="P54" s="49"/>
      <c r="Q54" s="49"/>
      <c r="R54" s="49"/>
      <c r="S54" s="49"/>
      <c r="T54" s="49"/>
      <c r="U54" s="49"/>
      <c r="V54" s="49"/>
      <c r="W54" s="49"/>
      <c r="X54" s="49"/>
      <c r="Y54" s="49"/>
      <c r="Z54" s="49"/>
    </row>
    <row r="55" spans="1:26" ht="15.5">
      <c r="A55" s="1"/>
      <c r="B55" s="1"/>
      <c r="C55" s="1"/>
      <c r="D55" s="1"/>
      <c r="E55" s="1"/>
      <c r="F55" s="1"/>
      <c r="G55" s="1"/>
      <c r="H55" s="49"/>
      <c r="I55" s="49"/>
      <c r="J55" s="49"/>
      <c r="K55" s="49"/>
      <c r="L55" s="49"/>
      <c r="M55" s="49"/>
      <c r="N55" s="49"/>
      <c r="O55" s="49"/>
      <c r="P55" s="49"/>
      <c r="Q55" s="49"/>
      <c r="R55" s="49"/>
      <c r="S55" s="49"/>
      <c r="T55" s="49"/>
      <c r="U55" s="49"/>
      <c r="V55" s="49"/>
      <c r="W55" s="49"/>
      <c r="X55" s="49"/>
      <c r="Y55" s="49"/>
      <c r="Z55" s="49"/>
    </row>
    <row r="56" spans="1:26" ht="15.5">
      <c r="A56" s="1"/>
      <c r="B56" s="1"/>
      <c r="C56" s="1"/>
      <c r="D56" s="1"/>
      <c r="E56" s="1"/>
      <c r="F56" s="1"/>
      <c r="G56" s="1"/>
      <c r="H56" s="49"/>
      <c r="I56" s="49"/>
      <c r="J56" s="49"/>
      <c r="K56" s="49"/>
      <c r="L56" s="49"/>
      <c r="M56" s="49"/>
      <c r="N56" s="49"/>
      <c r="O56" s="49"/>
      <c r="P56" s="49"/>
      <c r="Q56" s="49"/>
      <c r="R56" s="49"/>
      <c r="S56" s="49"/>
      <c r="T56" s="49"/>
      <c r="U56" s="49"/>
      <c r="V56" s="49"/>
      <c r="W56" s="49"/>
      <c r="X56" s="49"/>
      <c r="Y56" s="49"/>
      <c r="Z56" s="49"/>
    </row>
    <row r="57" spans="1:26" ht="15.5">
      <c r="A57" s="1"/>
      <c r="B57" s="1"/>
      <c r="C57" s="1"/>
      <c r="D57" s="1"/>
      <c r="E57" s="1"/>
      <c r="F57" s="1"/>
      <c r="G57" s="1"/>
      <c r="H57" s="49"/>
      <c r="I57" s="49"/>
      <c r="J57" s="49"/>
      <c r="K57" s="49"/>
      <c r="L57" s="49"/>
      <c r="M57" s="49"/>
      <c r="N57" s="49"/>
      <c r="O57" s="49"/>
      <c r="P57" s="49"/>
      <c r="Q57" s="49"/>
      <c r="R57" s="49"/>
      <c r="S57" s="49"/>
      <c r="T57" s="49"/>
      <c r="U57" s="49"/>
      <c r="V57" s="49"/>
      <c r="W57" s="49"/>
      <c r="X57" s="49"/>
      <c r="Y57" s="49"/>
      <c r="Z57" s="49"/>
    </row>
    <row r="58" spans="1:26" ht="15.5">
      <c r="A58" s="1"/>
      <c r="B58" s="1"/>
      <c r="C58" s="1"/>
      <c r="D58" s="1"/>
      <c r="E58" s="1"/>
      <c r="F58" s="1"/>
      <c r="G58" s="1"/>
      <c r="H58" s="49"/>
      <c r="I58" s="49"/>
      <c r="J58" s="49"/>
      <c r="K58" s="49"/>
      <c r="L58" s="49"/>
      <c r="M58" s="49"/>
      <c r="N58" s="49"/>
      <c r="O58" s="49"/>
      <c r="P58" s="49"/>
      <c r="Q58" s="49"/>
      <c r="R58" s="49"/>
      <c r="S58" s="49"/>
      <c r="T58" s="49"/>
      <c r="U58" s="49"/>
      <c r="V58" s="49"/>
      <c r="W58" s="49"/>
      <c r="X58" s="49"/>
      <c r="Y58" s="49"/>
      <c r="Z58" s="49"/>
    </row>
    <row r="59" spans="1:26" ht="15.5">
      <c r="A59" s="1"/>
      <c r="B59" s="1"/>
      <c r="C59" s="1"/>
      <c r="D59" s="1"/>
      <c r="E59" s="1"/>
      <c r="F59" s="1"/>
      <c r="G59" s="1"/>
      <c r="H59" s="49"/>
      <c r="I59" s="49"/>
      <c r="J59" s="49"/>
      <c r="K59" s="49"/>
      <c r="L59" s="49"/>
      <c r="M59" s="49"/>
      <c r="N59" s="49"/>
      <c r="O59" s="49"/>
      <c r="P59" s="49"/>
      <c r="Q59" s="49"/>
      <c r="R59" s="49"/>
      <c r="S59" s="49"/>
      <c r="T59" s="49"/>
      <c r="U59" s="49"/>
      <c r="V59" s="49"/>
      <c r="W59" s="49"/>
      <c r="X59" s="49"/>
      <c r="Y59" s="49"/>
      <c r="Z59" s="49"/>
    </row>
    <row r="60" spans="1:26" ht="15.5">
      <c r="A60" s="1"/>
      <c r="B60" s="1"/>
      <c r="C60" s="1"/>
      <c r="D60" s="1"/>
      <c r="E60" s="1"/>
      <c r="F60" s="1"/>
      <c r="G60" s="1"/>
      <c r="H60" s="49"/>
      <c r="I60" s="49"/>
      <c r="J60" s="49"/>
      <c r="K60" s="49"/>
      <c r="L60" s="49"/>
      <c r="M60" s="49"/>
      <c r="N60" s="49"/>
      <c r="O60" s="49"/>
      <c r="P60" s="49"/>
      <c r="Q60" s="49"/>
      <c r="R60" s="49"/>
      <c r="S60" s="49"/>
      <c r="T60" s="49"/>
      <c r="U60" s="49"/>
      <c r="V60" s="49"/>
      <c r="W60" s="49"/>
      <c r="X60" s="49"/>
      <c r="Y60" s="49"/>
      <c r="Z60" s="49"/>
    </row>
    <row r="61" spans="1:26" ht="15.5">
      <c r="A61" s="1"/>
      <c r="B61" s="1"/>
      <c r="C61" s="1"/>
      <c r="D61" s="1"/>
      <c r="E61" s="1"/>
      <c r="F61" s="1"/>
      <c r="G61" s="1"/>
      <c r="H61" s="49"/>
      <c r="I61" s="49"/>
      <c r="J61" s="49"/>
      <c r="K61" s="49"/>
      <c r="L61" s="49"/>
      <c r="M61" s="49"/>
      <c r="N61" s="49"/>
      <c r="O61" s="49"/>
      <c r="P61" s="49"/>
      <c r="Q61" s="49"/>
      <c r="R61" s="49"/>
      <c r="S61" s="49"/>
      <c r="T61" s="49"/>
      <c r="U61" s="49"/>
      <c r="V61" s="49"/>
      <c r="W61" s="49"/>
      <c r="X61" s="49"/>
      <c r="Y61" s="49"/>
      <c r="Z61" s="49"/>
    </row>
    <row r="62" spans="1:26" ht="15.5">
      <c r="A62" s="1"/>
      <c r="B62" s="1"/>
      <c r="C62" s="1"/>
      <c r="D62" s="1"/>
      <c r="E62" s="1"/>
      <c r="F62" s="1"/>
      <c r="G62" s="1"/>
      <c r="H62" s="49"/>
      <c r="I62" s="49"/>
      <c r="J62" s="49"/>
      <c r="K62" s="49"/>
      <c r="L62" s="49"/>
      <c r="M62" s="49"/>
      <c r="N62" s="49"/>
      <c r="O62" s="49"/>
      <c r="P62" s="49"/>
      <c r="Q62" s="49"/>
      <c r="R62" s="49"/>
      <c r="S62" s="49"/>
      <c r="T62" s="49"/>
      <c r="U62" s="49"/>
      <c r="V62" s="49"/>
      <c r="W62" s="49"/>
      <c r="X62" s="49"/>
      <c r="Y62" s="49"/>
      <c r="Z62" s="49"/>
    </row>
    <row r="63" spans="1:26" ht="15.5">
      <c r="A63" s="1"/>
      <c r="B63" s="1"/>
      <c r="C63" s="1"/>
      <c r="D63" s="1"/>
      <c r="E63" s="1"/>
      <c r="F63" s="1"/>
      <c r="G63" s="1"/>
      <c r="H63" s="49"/>
      <c r="I63" s="49"/>
      <c r="J63" s="49"/>
      <c r="K63" s="49"/>
      <c r="L63" s="49"/>
      <c r="M63" s="49"/>
      <c r="N63" s="49"/>
      <c r="O63" s="49"/>
      <c r="P63" s="49"/>
      <c r="Q63" s="49"/>
      <c r="R63" s="49"/>
      <c r="S63" s="49"/>
      <c r="T63" s="49"/>
      <c r="U63" s="49"/>
      <c r="V63" s="49"/>
      <c r="W63" s="49"/>
      <c r="X63" s="49"/>
      <c r="Y63" s="49"/>
      <c r="Z63" s="49"/>
    </row>
    <row r="64" spans="1:26" ht="15.5">
      <c r="A64" s="1"/>
      <c r="B64" s="1"/>
      <c r="C64" s="1"/>
      <c r="D64" s="1"/>
      <c r="E64" s="1"/>
      <c r="F64" s="1"/>
      <c r="G64" s="1"/>
      <c r="H64" s="49"/>
      <c r="I64" s="49"/>
      <c r="J64" s="49"/>
      <c r="K64" s="49"/>
      <c r="L64" s="49"/>
      <c r="M64" s="49"/>
      <c r="N64" s="49"/>
      <c r="O64" s="49"/>
      <c r="P64" s="49"/>
      <c r="Q64" s="49"/>
      <c r="R64" s="49"/>
      <c r="S64" s="49"/>
      <c r="T64" s="49"/>
      <c r="U64" s="49"/>
      <c r="V64" s="49"/>
      <c r="W64" s="49"/>
      <c r="X64" s="49"/>
      <c r="Y64" s="49"/>
      <c r="Z64" s="49"/>
    </row>
    <row r="65" spans="1:26" ht="15.5">
      <c r="A65" s="1"/>
      <c r="B65" s="1"/>
      <c r="C65" s="1"/>
      <c r="D65" s="1"/>
      <c r="E65" s="1"/>
      <c r="F65" s="1"/>
      <c r="G65" s="1"/>
      <c r="H65" s="49"/>
      <c r="I65" s="49"/>
      <c r="J65" s="49"/>
      <c r="K65" s="49"/>
      <c r="L65" s="49"/>
      <c r="M65" s="49"/>
      <c r="N65" s="49"/>
      <c r="O65" s="49"/>
      <c r="P65" s="49"/>
      <c r="Q65" s="49"/>
      <c r="R65" s="49"/>
      <c r="S65" s="49"/>
      <c r="T65" s="49"/>
      <c r="U65" s="49"/>
      <c r="V65" s="49"/>
      <c r="W65" s="49"/>
      <c r="X65" s="49"/>
      <c r="Y65" s="49"/>
      <c r="Z65" s="49"/>
    </row>
    <row r="66" spans="1:26" ht="15.5">
      <c r="A66" s="1"/>
      <c r="B66" s="1"/>
      <c r="C66" s="1"/>
      <c r="D66" s="1"/>
      <c r="E66" s="1"/>
      <c r="F66" s="1"/>
      <c r="G66" s="1"/>
      <c r="H66" s="49"/>
      <c r="I66" s="49"/>
      <c r="J66" s="49"/>
      <c r="K66" s="49"/>
      <c r="L66" s="49"/>
      <c r="M66" s="49"/>
      <c r="N66" s="49"/>
      <c r="O66" s="49"/>
      <c r="P66" s="49"/>
      <c r="Q66" s="49"/>
      <c r="R66" s="49"/>
      <c r="S66" s="49"/>
      <c r="T66" s="49"/>
      <c r="U66" s="49"/>
      <c r="V66" s="49"/>
      <c r="W66" s="49"/>
      <c r="X66" s="49"/>
      <c r="Y66" s="49"/>
      <c r="Z66" s="49"/>
    </row>
    <row r="67" spans="1:26" ht="15.5">
      <c r="A67" s="1"/>
      <c r="B67" s="1"/>
      <c r="C67" s="1"/>
      <c r="D67" s="1"/>
      <c r="E67" s="1"/>
      <c r="F67" s="1"/>
      <c r="G67" s="1"/>
      <c r="H67" s="49"/>
      <c r="I67" s="49"/>
      <c r="J67" s="49"/>
      <c r="K67" s="49"/>
      <c r="L67" s="49"/>
      <c r="M67" s="49"/>
      <c r="N67" s="49"/>
      <c r="O67" s="49"/>
      <c r="P67" s="49"/>
      <c r="Q67" s="49"/>
      <c r="R67" s="49"/>
      <c r="S67" s="49"/>
      <c r="T67" s="49"/>
      <c r="U67" s="49"/>
      <c r="V67" s="49"/>
      <c r="W67" s="49"/>
      <c r="X67" s="49"/>
      <c r="Y67" s="49"/>
      <c r="Z67" s="49"/>
    </row>
    <row r="68" spans="1:26" ht="15.5">
      <c r="A68" s="1"/>
      <c r="B68" s="1"/>
      <c r="C68" s="1"/>
      <c r="D68" s="1"/>
      <c r="E68" s="1"/>
      <c r="F68" s="1"/>
      <c r="G68" s="1"/>
      <c r="H68" s="49"/>
      <c r="I68" s="49"/>
      <c r="J68" s="49"/>
      <c r="K68" s="49"/>
      <c r="L68" s="49"/>
      <c r="M68" s="49"/>
      <c r="N68" s="49"/>
      <c r="O68" s="49"/>
      <c r="P68" s="49"/>
      <c r="Q68" s="49"/>
      <c r="R68" s="49"/>
      <c r="S68" s="49"/>
      <c r="T68" s="49"/>
      <c r="U68" s="49"/>
      <c r="V68" s="49"/>
      <c r="W68" s="49"/>
      <c r="X68" s="49"/>
      <c r="Y68" s="49"/>
      <c r="Z68" s="49"/>
    </row>
    <row r="69" spans="1:26" ht="15.5">
      <c r="A69" s="1"/>
      <c r="B69" s="1"/>
      <c r="C69" s="1"/>
      <c r="D69" s="1"/>
      <c r="E69" s="1"/>
      <c r="F69" s="1"/>
      <c r="G69" s="1"/>
      <c r="H69" s="49"/>
      <c r="I69" s="49"/>
      <c r="J69" s="49"/>
      <c r="K69" s="49"/>
      <c r="L69" s="49"/>
      <c r="M69" s="49"/>
      <c r="N69" s="49"/>
      <c r="O69" s="49"/>
      <c r="P69" s="49"/>
      <c r="Q69" s="49"/>
      <c r="R69" s="49"/>
      <c r="S69" s="49"/>
      <c r="T69" s="49"/>
      <c r="U69" s="49"/>
      <c r="V69" s="49"/>
      <c r="W69" s="49"/>
      <c r="X69" s="49"/>
      <c r="Y69" s="49"/>
      <c r="Z69" s="49"/>
    </row>
    <row r="70" spans="1:26" ht="15.5">
      <c r="A70" s="1"/>
      <c r="B70" s="1"/>
      <c r="C70" s="1"/>
      <c r="D70" s="1"/>
      <c r="E70" s="1"/>
      <c r="F70" s="1"/>
      <c r="G70" s="1"/>
      <c r="H70" s="49"/>
      <c r="I70" s="49"/>
      <c r="J70" s="49"/>
      <c r="K70" s="49"/>
      <c r="L70" s="49"/>
      <c r="M70" s="49"/>
      <c r="N70" s="49"/>
      <c r="O70" s="49"/>
      <c r="P70" s="49"/>
      <c r="Q70" s="49"/>
      <c r="R70" s="49"/>
      <c r="S70" s="49"/>
      <c r="T70" s="49"/>
      <c r="U70" s="49"/>
      <c r="V70" s="49"/>
      <c r="W70" s="49"/>
      <c r="X70" s="49"/>
      <c r="Y70" s="49"/>
      <c r="Z70" s="49"/>
    </row>
    <row r="71" spans="1:26" ht="15.5">
      <c r="A71" s="1"/>
      <c r="B71" s="1"/>
      <c r="C71" s="1"/>
      <c r="D71" s="1"/>
      <c r="E71" s="1"/>
      <c r="F71" s="1"/>
      <c r="G71" s="1"/>
      <c r="H71" s="49"/>
      <c r="I71" s="49"/>
      <c r="J71" s="49"/>
      <c r="K71" s="49"/>
      <c r="L71" s="49"/>
      <c r="M71" s="49"/>
      <c r="N71" s="49"/>
      <c r="O71" s="49"/>
      <c r="P71" s="49"/>
      <c r="Q71" s="49"/>
      <c r="R71" s="49"/>
      <c r="S71" s="49"/>
      <c r="T71" s="49"/>
      <c r="U71" s="49"/>
      <c r="V71" s="49"/>
      <c r="W71" s="49"/>
      <c r="X71" s="49"/>
      <c r="Y71" s="49"/>
      <c r="Z71" s="49"/>
    </row>
    <row r="72" spans="1:26" ht="15.5">
      <c r="A72" s="1"/>
      <c r="B72" s="1"/>
      <c r="C72" s="1"/>
      <c r="D72" s="1"/>
      <c r="E72" s="1"/>
      <c r="F72" s="1"/>
      <c r="G72" s="1"/>
      <c r="H72" s="49"/>
      <c r="I72" s="49"/>
      <c r="J72" s="49"/>
      <c r="K72" s="49"/>
      <c r="L72" s="49"/>
      <c r="M72" s="49"/>
      <c r="N72" s="49"/>
      <c r="O72" s="49"/>
      <c r="P72" s="49"/>
      <c r="Q72" s="49"/>
      <c r="R72" s="49"/>
      <c r="S72" s="49"/>
      <c r="T72" s="49"/>
      <c r="U72" s="49"/>
      <c r="V72" s="49"/>
      <c r="W72" s="49"/>
      <c r="X72" s="49"/>
      <c r="Y72" s="49"/>
      <c r="Z72" s="49"/>
    </row>
    <row r="73" spans="1:26" ht="15.5">
      <c r="A73" s="1"/>
      <c r="B73" s="1"/>
      <c r="C73" s="1"/>
      <c r="D73" s="1"/>
      <c r="E73" s="1"/>
      <c r="F73" s="1"/>
      <c r="G73" s="1"/>
      <c r="H73" s="49"/>
      <c r="I73" s="49"/>
      <c r="J73" s="49"/>
      <c r="K73" s="49"/>
      <c r="L73" s="49"/>
      <c r="M73" s="49"/>
      <c r="N73" s="49"/>
      <c r="O73" s="49"/>
      <c r="P73" s="49"/>
      <c r="Q73" s="49"/>
      <c r="R73" s="49"/>
      <c r="S73" s="49"/>
      <c r="T73" s="49"/>
      <c r="U73" s="49"/>
      <c r="V73" s="49"/>
      <c r="W73" s="49"/>
      <c r="X73" s="49"/>
      <c r="Y73" s="49"/>
      <c r="Z73" s="49"/>
    </row>
    <row r="74" spans="1:26" ht="15.5">
      <c r="A74" s="1"/>
      <c r="B74" s="1"/>
      <c r="C74" s="1"/>
      <c r="D74" s="1"/>
      <c r="E74" s="1"/>
      <c r="F74" s="1"/>
      <c r="G74" s="1"/>
      <c r="H74" s="49"/>
      <c r="I74" s="49"/>
      <c r="J74" s="49"/>
      <c r="K74" s="49"/>
      <c r="L74" s="49"/>
      <c r="M74" s="49"/>
      <c r="N74" s="49"/>
      <c r="O74" s="49"/>
      <c r="P74" s="49"/>
      <c r="Q74" s="49"/>
      <c r="R74" s="49"/>
      <c r="S74" s="49"/>
      <c r="T74" s="49"/>
      <c r="U74" s="49"/>
      <c r="V74" s="49"/>
      <c r="W74" s="49"/>
      <c r="X74" s="49"/>
      <c r="Y74" s="49"/>
      <c r="Z74" s="49"/>
    </row>
    <row r="75" spans="1:26" ht="15.5">
      <c r="A75" s="1"/>
      <c r="B75" s="1"/>
      <c r="C75" s="1"/>
      <c r="D75" s="1"/>
      <c r="E75" s="1"/>
      <c r="F75" s="1"/>
      <c r="G75" s="1"/>
      <c r="H75" s="49"/>
      <c r="I75" s="49"/>
      <c r="J75" s="49"/>
      <c r="K75" s="49"/>
      <c r="L75" s="49"/>
      <c r="M75" s="49"/>
      <c r="N75" s="49"/>
      <c r="O75" s="49"/>
      <c r="P75" s="49"/>
      <c r="Q75" s="49"/>
      <c r="R75" s="49"/>
      <c r="S75" s="49"/>
      <c r="T75" s="49"/>
      <c r="U75" s="49"/>
      <c r="V75" s="49"/>
      <c r="W75" s="49"/>
      <c r="X75" s="49"/>
      <c r="Y75" s="49"/>
      <c r="Z75" s="49"/>
    </row>
    <row r="76" spans="1:26" ht="15.5">
      <c r="A76" s="1"/>
      <c r="B76" s="1"/>
      <c r="C76" s="1"/>
      <c r="D76" s="1"/>
      <c r="E76" s="1"/>
      <c r="F76" s="1"/>
      <c r="G76" s="1"/>
      <c r="H76" s="49"/>
      <c r="I76" s="49"/>
      <c r="J76" s="49"/>
      <c r="K76" s="49"/>
      <c r="L76" s="49"/>
      <c r="M76" s="49"/>
      <c r="N76" s="49"/>
      <c r="O76" s="49"/>
      <c r="P76" s="49"/>
      <c r="Q76" s="49"/>
      <c r="R76" s="49"/>
      <c r="S76" s="49"/>
      <c r="T76" s="49"/>
      <c r="U76" s="49"/>
      <c r="V76" s="49"/>
      <c r="W76" s="49"/>
      <c r="X76" s="49"/>
      <c r="Y76" s="49"/>
      <c r="Z76" s="49"/>
    </row>
    <row r="77" spans="1:26" ht="15.5">
      <c r="A77" s="1"/>
      <c r="B77" s="1"/>
      <c r="C77" s="1"/>
      <c r="D77" s="1"/>
      <c r="E77" s="1"/>
      <c r="F77" s="1"/>
      <c r="G77" s="1"/>
      <c r="H77" s="49"/>
      <c r="I77" s="49"/>
      <c r="J77" s="49"/>
      <c r="K77" s="49"/>
      <c r="L77" s="49"/>
      <c r="M77" s="49"/>
      <c r="N77" s="49"/>
      <c r="O77" s="49"/>
      <c r="P77" s="49"/>
      <c r="Q77" s="49"/>
      <c r="R77" s="49"/>
      <c r="S77" s="49"/>
      <c r="T77" s="49"/>
      <c r="U77" s="49"/>
      <c r="V77" s="49"/>
      <c r="W77" s="49"/>
      <c r="X77" s="49"/>
      <c r="Y77" s="49"/>
      <c r="Z77" s="49"/>
    </row>
    <row r="78" spans="1:26" ht="15.5">
      <c r="A78" s="1"/>
      <c r="B78" s="1"/>
      <c r="C78" s="1"/>
      <c r="D78" s="1"/>
      <c r="E78" s="1"/>
      <c r="F78" s="1"/>
      <c r="G78" s="1"/>
      <c r="H78" s="49"/>
      <c r="I78" s="49"/>
      <c r="J78" s="49"/>
      <c r="K78" s="49"/>
      <c r="L78" s="49"/>
      <c r="M78" s="49"/>
      <c r="N78" s="49"/>
      <c r="O78" s="49"/>
      <c r="P78" s="49"/>
      <c r="Q78" s="49"/>
      <c r="R78" s="49"/>
      <c r="S78" s="49"/>
      <c r="T78" s="49"/>
      <c r="U78" s="49"/>
      <c r="V78" s="49"/>
      <c r="W78" s="49"/>
      <c r="X78" s="49"/>
      <c r="Y78" s="49"/>
      <c r="Z78" s="49"/>
    </row>
    <row r="79" spans="1:26" ht="15.5">
      <c r="A79" s="1"/>
      <c r="B79" s="1"/>
      <c r="C79" s="1"/>
      <c r="D79" s="1"/>
      <c r="E79" s="1"/>
      <c r="F79" s="1"/>
      <c r="G79" s="1"/>
      <c r="H79" s="49"/>
      <c r="I79" s="49"/>
      <c r="J79" s="49"/>
      <c r="K79" s="49"/>
      <c r="L79" s="49"/>
      <c r="M79" s="49"/>
      <c r="N79" s="49"/>
      <c r="O79" s="49"/>
      <c r="P79" s="49"/>
      <c r="Q79" s="49"/>
      <c r="R79" s="49"/>
      <c r="S79" s="49"/>
      <c r="T79" s="49"/>
      <c r="U79" s="49"/>
      <c r="V79" s="49"/>
      <c r="W79" s="49"/>
      <c r="X79" s="49"/>
      <c r="Y79" s="49"/>
      <c r="Z79" s="49"/>
    </row>
    <row r="80" spans="1:26" ht="15.5">
      <c r="A80" s="1"/>
      <c r="B80" s="1"/>
      <c r="C80" s="1"/>
      <c r="D80" s="1"/>
      <c r="E80" s="1"/>
      <c r="F80" s="1"/>
      <c r="G80" s="1"/>
      <c r="H80" s="49"/>
      <c r="I80" s="49"/>
      <c r="J80" s="49"/>
      <c r="K80" s="49"/>
      <c r="L80" s="49"/>
      <c r="M80" s="49"/>
      <c r="N80" s="49"/>
      <c r="O80" s="49"/>
      <c r="P80" s="49"/>
      <c r="Q80" s="49"/>
      <c r="R80" s="49"/>
      <c r="S80" s="49"/>
      <c r="T80" s="49"/>
      <c r="U80" s="49"/>
      <c r="V80" s="49"/>
      <c r="W80" s="49"/>
      <c r="X80" s="49"/>
      <c r="Y80" s="49"/>
      <c r="Z80" s="49"/>
    </row>
    <row r="81" spans="1:26" ht="15.5">
      <c r="A81" s="1"/>
      <c r="B81" s="1"/>
      <c r="C81" s="1"/>
      <c r="D81" s="1"/>
      <c r="E81" s="1"/>
      <c r="F81" s="1"/>
      <c r="G81" s="1"/>
      <c r="H81" s="49"/>
      <c r="I81" s="49"/>
      <c r="J81" s="49"/>
      <c r="K81" s="49"/>
      <c r="L81" s="49"/>
      <c r="M81" s="49"/>
      <c r="N81" s="49"/>
      <c r="O81" s="49"/>
      <c r="P81" s="49"/>
      <c r="Q81" s="49"/>
      <c r="R81" s="49"/>
      <c r="S81" s="49"/>
      <c r="T81" s="49"/>
      <c r="U81" s="49"/>
      <c r="V81" s="49"/>
      <c r="W81" s="49"/>
      <c r="X81" s="49"/>
      <c r="Y81" s="49"/>
      <c r="Z81" s="49"/>
    </row>
    <row r="82" spans="1:26" ht="15.5">
      <c r="A82" s="1"/>
      <c r="B82" s="1"/>
      <c r="C82" s="1"/>
      <c r="D82" s="1"/>
      <c r="E82" s="1"/>
      <c r="F82" s="1"/>
      <c r="G82" s="1"/>
      <c r="H82" s="49"/>
      <c r="I82" s="49"/>
      <c r="J82" s="49"/>
      <c r="K82" s="49"/>
      <c r="L82" s="49"/>
      <c r="M82" s="49"/>
      <c r="N82" s="49"/>
      <c r="O82" s="49"/>
      <c r="P82" s="49"/>
      <c r="Q82" s="49"/>
      <c r="R82" s="49"/>
      <c r="S82" s="49"/>
      <c r="T82" s="49"/>
      <c r="U82" s="49"/>
      <c r="V82" s="49"/>
      <c r="W82" s="49"/>
      <c r="X82" s="49"/>
      <c r="Y82" s="49"/>
      <c r="Z82" s="49"/>
    </row>
    <row r="83" spans="1:26" ht="15.5">
      <c r="A83" s="1"/>
      <c r="B83" s="1"/>
      <c r="C83" s="1"/>
      <c r="D83" s="1"/>
      <c r="E83" s="1"/>
      <c r="F83" s="1"/>
      <c r="G83" s="1"/>
      <c r="H83" s="49"/>
      <c r="I83" s="49"/>
      <c r="J83" s="49"/>
      <c r="K83" s="49"/>
      <c r="L83" s="49"/>
      <c r="M83" s="49"/>
      <c r="N83" s="49"/>
      <c r="O83" s="49"/>
      <c r="P83" s="49"/>
      <c r="Q83" s="49"/>
      <c r="R83" s="49"/>
      <c r="S83" s="49"/>
      <c r="T83" s="49"/>
      <c r="U83" s="49"/>
      <c r="V83" s="49"/>
      <c r="W83" s="49"/>
      <c r="X83" s="49"/>
      <c r="Y83" s="49"/>
      <c r="Z83" s="49"/>
    </row>
    <row r="84" spans="1:26" ht="15.5">
      <c r="A84" s="1"/>
      <c r="B84" s="1"/>
      <c r="C84" s="1"/>
      <c r="D84" s="1"/>
      <c r="E84" s="1"/>
      <c r="F84" s="1"/>
      <c r="G84" s="1"/>
      <c r="H84" s="49"/>
      <c r="I84" s="49"/>
      <c r="J84" s="49"/>
      <c r="K84" s="49"/>
      <c r="L84" s="49"/>
      <c r="M84" s="49"/>
      <c r="N84" s="49"/>
      <c r="O84" s="49"/>
      <c r="P84" s="49"/>
      <c r="Q84" s="49"/>
      <c r="R84" s="49"/>
      <c r="S84" s="49"/>
      <c r="T84" s="49"/>
      <c r="U84" s="49"/>
      <c r="V84" s="49"/>
      <c r="W84" s="49"/>
      <c r="X84" s="49"/>
      <c r="Y84" s="49"/>
      <c r="Z84" s="49"/>
    </row>
    <row r="85" spans="1:26" ht="15.5">
      <c r="A85" s="1"/>
      <c r="B85" s="1"/>
      <c r="C85" s="1"/>
      <c r="D85" s="1"/>
      <c r="E85" s="1"/>
      <c r="F85" s="1"/>
      <c r="G85" s="1"/>
      <c r="H85" s="49"/>
      <c r="I85" s="49"/>
      <c r="J85" s="49"/>
      <c r="K85" s="49"/>
      <c r="L85" s="49"/>
      <c r="M85" s="49"/>
      <c r="N85" s="49"/>
      <c r="O85" s="49"/>
      <c r="P85" s="49"/>
      <c r="Q85" s="49"/>
      <c r="R85" s="49"/>
      <c r="S85" s="49"/>
      <c r="T85" s="49"/>
      <c r="U85" s="49"/>
      <c r="V85" s="49"/>
      <c r="W85" s="49"/>
      <c r="X85" s="49"/>
      <c r="Y85" s="49"/>
      <c r="Z85" s="49"/>
    </row>
    <row r="86" spans="1:26" ht="15.5">
      <c r="A86" s="1"/>
      <c r="B86" s="1"/>
      <c r="C86" s="1"/>
      <c r="D86" s="1"/>
      <c r="E86" s="1"/>
      <c r="F86" s="1"/>
      <c r="G86" s="1"/>
      <c r="H86" s="49"/>
      <c r="I86" s="49"/>
      <c r="J86" s="49"/>
      <c r="K86" s="49"/>
      <c r="L86" s="49"/>
      <c r="M86" s="49"/>
      <c r="N86" s="49"/>
      <c r="O86" s="49"/>
      <c r="P86" s="49"/>
      <c r="Q86" s="49"/>
      <c r="R86" s="49"/>
      <c r="S86" s="49"/>
      <c r="T86" s="49"/>
      <c r="U86" s="49"/>
      <c r="V86" s="49"/>
      <c r="W86" s="49"/>
      <c r="X86" s="49"/>
      <c r="Y86" s="49"/>
      <c r="Z86" s="49"/>
    </row>
    <row r="87" spans="1:26" ht="15.5">
      <c r="A87" s="1"/>
      <c r="B87" s="1"/>
      <c r="C87" s="1"/>
      <c r="D87" s="1"/>
      <c r="E87" s="1"/>
      <c r="F87" s="1"/>
      <c r="G87" s="1"/>
      <c r="H87" s="49"/>
      <c r="I87" s="49"/>
      <c r="J87" s="49"/>
      <c r="K87" s="49"/>
      <c r="L87" s="49"/>
      <c r="M87" s="49"/>
      <c r="N87" s="49"/>
      <c r="O87" s="49"/>
      <c r="P87" s="49"/>
      <c r="Q87" s="49"/>
      <c r="R87" s="49"/>
      <c r="S87" s="49"/>
      <c r="T87" s="49"/>
      <c r="U87" s="49"/>
      <c r="V87" s="49"/>
      <c r="W87" s="49"/>
      <c r="X87" s="49"/>
      <c r="Y87" s="49"/>
      <c r="Z87" s="49"/>
    </row>
    <row r="88" spans="1:26" ht="15.5">
      <c r="A88" s="1"/>
      <c r="B88" s="1"/>
      <c r="C88" s="1"/>
      <c r="D88" s="1"/>
      <c r="E88" s="1"/>
      <c r="F88" s="1"/>
      <c r="G88" s="1"/>
      <c r="H88" s="49"/>
      <c r="I88" s="49"/>
      <c r="J88" s="49"/>
      <c r="K88" s="49"/>
      <c r="L88" s="49"/>
      <c r="M88" s="49"/>
      <c r="N88" s="49"/>
      <c r="O88" s="49"/>
      <c r="P88" s="49"/>
      <c r="Q88" s="49"/>
      <c r="R88" s="49"/>
      <c r="S88" s="49"/>
      <c r="T88" s="49"/>
      <c r="U88" s="49"/>
      <c r="V88" s="49"/>
      <c r="W88" s="49"/>
      <c r="X88" s="49"/>
      <c r="Y88" s="49"/>
      <c r="Z88" s="49"/>
    </row>
    <row r="89" spans="1:26" ht="15.5">
      <c r="A89" s="1"/>
      <c r="B89" s="1"/>
      <c r="C89" s="1"/>
      <c r="D89" s="1"/>
      <c r="E89" s="1"/>
      <c r="F89" s="1"/>
      <c r="G89" s="1"/>
      <c r="H89" s="49"/>
      <c r="I89" s="49"/>
      <c r="J89" s="49"/>
      <c r="K89" s="49"/>
      <c r="L89" s="49"/>
      <c r="M89" s="49"/>
      <c r="N89" s="49"/>
      <c r="O89" s="49"/>
      <c r="P89" s="49"/>
      <c r="Q89" s="49"/>
      <c r="R89" s="49"/>
      <c r="S89" s="49"/>
      <c r="T89" s="49"/>
      <c r="U89" s="49"/>
      <c r="V89" s="49"/>
      <c r="W89" s="49"/>
      <c r="X89" s="49"/>
      <c r="Y89" s="49"/>
      <c r="Z89" s="49"/>
    </row>
    <row r="90" spans="1:26" ht="15.5">
      <c r="A90" s="1"/>
      <c r="B90" s="1"/>
      <c r="C90" s="1"/>
      <c r="D90" s="1"/>
      <c r="E90" s="1"/>
      <c r="F90" s="1"/>
      <c r="G90" s="1"/>
      <c r="H90" s="49"/>
      <c r="I90" s="49"/>
      <c r="J90" s="49"/>
      <c r="K90" s="49"/>
      <c r="L90" s="49"/>
      <c r="M90" s="49"/>
      <c r="N90" s="49"/>
      <c r="O90" s="49"/>
      <c r="P90" s="49"/>
      <c r="Q90" s="49"/>
      <c r="R90" s="49"/>
      <c r="S90" s="49"/>
      <c r="T90" s="49"/>
      <c r="U90" s="49"/>
      <c r="V90" s="49"/>
      <c r="W90" s="49"/>
      <c r="X90" s="49"/>
      <c r="Y90" s="49"/>
      <c r="Z90" s="49"/>
    </row>
    <row r="91" spans="1:26" ht="15.5">
      <c r="A91" s="1"/>
      <c r="B91" s="1"/>
      <c r="C91" s="1"/>
      <c r="D91" s="1"/>
      <c r="E91" s="1"/>
      <c r="F91" s="1"/>
      <c r="G91" s="1"/>
      <c r="H91" s="49"/>
      <c r="I91" s="49"/>
      <c r="J91" s="49"/>
      <c r="K91" s="49"/>
      <c r="L91" s="49"/>
      <c r="M91" s="49"/>
      <c r="N91" s="49"/>
      <c r="O91" s="49"/>
      <c r="P91" s="49"/>
      <c r="Q91" s="49"/>
      <c r="R91" s="49"/>
      <c r="S91" s="49"/>
      <c r="T91" s="49"/>
      <c r="U91" s="49"/>
      <c r="V91" s="49"/>
      <c r="W91" s="49"/>
      <c r="X91" s="49"/>
      <c r="Y91" s="49"/>
      <c r="Z91" s="49"/>
    </row>
    <row r="92" spans="1:26" ht="15.5">
      <c r="A92" s="1"/>
      <c r="B92" s="1"/>
      <c r="C92" s="1"/>
      <c r="D92" s="1"/>
      <c r="E92" s="1"/>
      <c r="F92" s="1"/>
      <c r="G92" s="1"/>
      <c r="H92" s="49"/>
      <c r="I92" s="49"/>
      <c r="J92" s="49"/>
      <c r="K92" s="49"/>
      <c r="L92" s="49"/>
      <c r="M92" s="49"/>
      <c r="N92" s="49"/>
      <c r="O92" s="49"/>
      <c r="P92" s="49"/>
      <c r="Q92" s="49"/>
      <c r="R92" s="49"/>
      <c r="S92" s="49"/>
      <c r="T92" s="49"/>
      <c r="U92" s="49"/>
      <c r="V92" s="49"/>
      <c r="W92" s="49"/>
      <c r="X92" s="49"/>
      <c r="Y92" s="49"/>
      <c r="Z92" s="49"/>
    </row>
    <row r="93" spans="1:26" ht="15.5">
      <c r="A93" s="1"/>
      <c r="B93" s="1"/>
      <c r="C93" s="1"/>
      <c r="D93" s="1"/>
      <c r="E93" s="1"/>
      <c r="F93" s="1"/>
      <c r="G93" s="1"/>
      <c r="H93" s="49"/>
      <c r="I93" s="49"/>
      <c r="J93" s="49"/>
      <c r="K93" s="49"/>
      <c r="L93" s="49"/>
      <c r="M93" s="49"/>
      <c r="N93" s="49"/>
      <c r="O93" s="49"/>
      <c r="P93" s="49"/>
      <c r="Q93" s="49"/>
      <c r="R93" s="49"/>
      <c r="S93" s="49"/>
      <c r="T93" s="49"/>
      <c r="U93" s="49"/>
      <c r="V93" s="49"/>
      <c r="W93" s="49"/>
      <c r="X93" s="49"/>
      <c r="Y93" s="49"/>
      <c r="Z93" s="49"/>
    </row>
    <row r="94" spans="1:26" ht="15.5">
      <c r="A94" s="1"/>
      <c r="B94" s="1"/>
      <c r="C94" s="1"/>
      <c r="D94" s="1"/>
      <c r="E94" s="1"/>
      <c r="F94" s="1"/>
      <c r="G94" s="1"/>
      <c r="H94" s="49"/>
      <c r="I94" s="49"/>
      <c r="J94" s="49"/>
      <c r="K94" s="49"/>
      <c r="L94" s="49"/>
      <c r="M94" s="49"/>
      <c r="N94" s="49"/>
      <c r="O94" s="49"/>
      <c r="P94" s="49"/>
      <c r="Q94" s="49"/>
      <c r="R94" s="49"/>
      <c r="S94" s="49"/>
      <c r="T94" s="49"/>
      <c r="U94" s="49"/>
      <c r="V94" s="49"/>
      <c r="W94" s="49"/>
      <c r="X94" s="49"/>
      <c r="Y94" s="49"/>
      <c r="Z94" s="49"/>
    </row>
    <row r="95" spans="1:26" ht="15.5">
      <c r="A95" s="1"/>
      <c r="B95" s="1"/>
      <c r="C95" s="1"/>
      <c r="D95" s="1"/>
      <c r="E95" s="1"/>
      <c r="F95" s="1"/>
      <c r="G95" s="1"/>
      <c r="H95" s="49"/>
      <c r="I95" s="49"/>
      <c r="J95" s="49"/>
      <c r="K95" s="49"/>
      <c r="L95" s="49"/>
      <c r="M95" s="49"/>
      <c r="N95" s="49"/>
      <c r="O95" s="49"/>
      <c r="P95" s="49"/>
      <c r="Q95" s="49"/>
      <c r="R95" s="49"/>
      <c r="S95" s="49"/>
      <c r="T95" s="49"/>
      <c r="U95" s="49"/>
      <c r="V95" s="49"/>
      <c r="W95" s="49"/>
      <c r="X95" s="49"/>
      <c r="Y95" s="49"/>
      <c r="Z95" s="49"/>
    </row>
    <row r="96" spans="1:26" ht="15.5">
      <c r="A96" s="1"/>
      <c r="B96" s="1"/>
      <c r="C96" s="1"/>
      <c r="D96" s="1"/>
      <c r="E96" s="1"/>
      <c r="F96" s="1"/>
      <c r="G96" s="1"/>
      <c r="H96" s="49"/>
      <c r="I96" s="49"/>
      <c r="J96" s="49"/>
      <c r="K96" s="49"/>
      <c r="L96" s="49"/>
      <c r="M96" s="49"/>
      <c r="N96" s="49"/>
      <c r="O96" s="49"/>
      <c r="P96" s="49"/>
      <c r="Q96" s="49"/>
      <c r="R96" s="49"/>
      <c r="S96" s="49"/>
      <c r="T96" s="49"/>
      <c r="U96" s="49"/>
      <c r="V96" s="49"/>
      <c r="W96" s="49"/>
      <c r="X96" s="49"/>
      <c r="Y96" s="49"/>
      <c r="Z96" s="49"/>
    </row>
    <row r="97" spans="1:26" ht="15.5">
      <c r="A97" s="1"/>
      <c r="B97" s="1"/>
      <c r="C97" s="1"/>
      <c r="D97" s="1"/>
      <c r="E97" s="1"/>
      <c r="F97" s="1"/>
      <c r="G97" s="1"/>
      <c r="H97" s="49"/>
      <c r="I97" s="49"/>
      <c r="J97" s="49"/>
      <c r="K97" s="49"/>
      <c r="L97" s="49"/>
      <c r="M97" s="49"/>
      <c r="N97" s="49"/>
      <c r="O97" s="49"/>
      <c r="P97" s="49"/>
      <c r="Q97" s="49"/>
      <c r="R97" s="49"/>
      <c r="S97" s="49"/>
      <c r="T97" s="49"/>
      <c r="U97" s="49"/>
      <c r="V97" s="49"/>
      <c r="W97" s="49"/>
      <c r="X97" s="49"/>
      <c r="Y97" s="49"/>
      <c r="Z97" s="49"/>
    </row>
    <row r="98" spans="1:26" ht="15.5">
      <c r="A98" s="1"/>
      <c r="B98" s="1"/>
      <c r="C98" s="1"/>
      <c r="D98" s="1"/>
      <c r="E98" s="1"/>
      <c r="F98" s="1"/>
      <c r="G98" s="1"/>
      <c r="H98" s="49"/>
      <c r="I98" s="49"/>
      <c r="J98" s="49"/>
      <c r="K98" s="49"/>
      <c r="L98" s="49"/>
      <c r="M98" s="49"/>
      <c r="N98" s="49"/>
      <c r="O98" s="49"/>
      <c r="P98" s="49"/>
      <c r="Q98" s="49"/>
      <c r="R98" s="49"/>
      <c r="S98" s="49"/>
      <c r="T98" s="49"/>
      <c r="U98" s="49"/>
      <c r="V98" s="49"/>
      <c r="W98" s="49"/>
      <c r="X98" s="49"/>
      <c r="Y98" s="49"/>
      <c r="Z98" s="49"/>
    </row>
    <row r="99" spans="1:26" ht="15.5">
      <c r="A99" s="1"/>
      <c r="B99" s="1"/>
      <c r="C99" s="1"/>
      <c r="D99" s="1"/>
      <c r="E99" s="1"/>
      <c r="F99" s="1"/>
      <c r="G99" s="1"/>
      <c r="H99" s="49"/>
      <c r="I99" s="49"/>
      <c r="J99" s="49"/>
      <c r="K99" s="49"/>
      <c r="L99" s="49"/>
      <c r="M99" s="49"/>
      <c r="N99" s="49"/>
      <c r="O99" s="49"/>
      <c r="P99" s="49"/>
      <c r="Q99" s="49"/>
      <c r="R99" s="49"/>
      <c r="S99" s="49"/>
      <c r="T99" s="49"/>
      <c r="U99" s="49"/>
      <c r="V99" s="49"/>
      <c r="W99" s="49"/>
      <c r="X99" s="49"/>
      <c r="Y99" s="49"/>
      <c r="Z99" s="49"/>
    </row>
    <row r="100" spans="1:26" ht="15.5">
      <c r="A100" s="1"/>
      <c r="B100" s="1"/>
      <c r="C100" s="1"/>
      <c r="D100" s="1"/>
      <c r="E100" s="1"/>
      <c r="F100" s="1"/>
      <c r="G100" s="1"/>
      <c r="H100" s="49"/>
      <c r="I100" s="49"/>
      <c r="J100" s="49"/>
      <c r="K100" s="49"/>
      <c r="L100" s="49"/>
      <c r="M100" s="49"/>
      <c r="N100" s="49"/>
      <c r="O100" s="49"/>
      <c r="P100" s="49"/>
      <c r="Q100" s="49"/>
      <c r="R100" s="49"/>
      <c r="S100" s="49"/>
      <c r="T100" s="49"/>
      <c r="U100" s="49"/>
      <c r="V100" s="49"/>
      <c r="W100" s="49"/>
      <c r="X100" s="49"/>
      <c r="Y100" s="49"/>
      <c r="Z100" s="49"/>
    </row>
    <row r="101" spans="1:26" ht="15.5">
      <c r="A101" s="1"/>
      <c r="B101" s="1"/>
      <c r="C101" s="1"/>
      <c r="D101" s="1"/>
      <c r="E101" s="1"/>
      <c r="F101" s="1"/>
      <c r="G101" s="1"/>
      <c r="H101" s="49"/>
      <c r="I101" s="49"/>
      <c r="J101" s="49"/>
      <c r="K101" s="49"/>
      <c r="L101" s="49"/>
      <c r="M101" s="49"/>
      <c r="N101" s="49"/>
      <c r="O101" s="49"/>
      <c r="P101" s="49"/>
      <c r="Q101" s="49"/>
      <c r="R101" s="49"/>
      <c r="S101" s="49"/>
      <c r="T101" s="49"/>
      <c r="U101" s="49"/>
      <c r="V101" s="49"/>
      <c r="W101" s="49"/>
      <c r="X101" s="49"/>
      <c r="Y101" s="49"/>
      <c r="Z101" s="49"/>
    </row>
    <row r="102" spans="1:26" ht="15.5">
      <c r="A102" s="1"/>
      <c r="B102" s="1"/>
      <c r="C102" s="1"/>
      <c r="D102" s="1"/>
      <c r="E102" s="1"/>
      <c r="F102" s="1"/>
      <c r="G102" s="1"/>
      <c r="H102" s="49"/>
      <c r="I102" s="49"/>
      <c r="J102" s="49"/>
      <c r="K102" s="49"/>
      <c r="L102" s="49"/>
      <c r="M102" s="49"/>
      <c r="N102" s="49"/>
      <c r="O102" s="49"/>
      <c r="P102" s="49"/>
      <c r="Q102" s="49"/>
      <c r="R102" s="49"/>
      <c r="S102" s="49"/>
      <c r="T102" s="49"/>
      <c r="U102" s="49"/>
      <c r="V102" s="49"/>
      <c r="W102" s="49"/>
      <c r="X102" s="49"/>
      <c r="Y102" s="49"/>
      <c r="Z102" s="49"/>
    </row>
    <row r="103" spans="1:26" ht="15.5">
      <c r="A103" s="1"/>
      <c r="B103" s="1"/>
      <c r="C103" s="1"/>
      <c r="D103" s="1"/>
      <c r="E103" s="1"/>
      <c r="F103" s="1"/>
      <c r="G103" s="1"/>
      <c r="H103" s="49"/>
      <c r="I103" s="49"/>
      <c r="J103" s="49"/>
      <c r="K103" s="49"/>
      <c r="L103" s="49"/>
      <c r="M103" s="49"/>
      <c r="N103" s="49"/>
      <c r="O103" s="49"/>
      <c r="P103" s="49"/>
      <c r="Q103" s="49"/>
      <c r="R103" s="49"/>
      <c r="S103" s="49"/>
      <c r="T103" s="49"/>
      <c r="U103" s="49"/>
      <c r="V103" s="49"/>
      <c r="W103" s="49"/>
      <c r="X103" s="49"/>
      <c r="Y103" s="49"/>
      <c r="Z103" s="49"/>
    </row>
    <row r="104" spans="1:26" ht="15.5">
      <c r="A104" s="1"/>
      <c r="B104" s="1"/>
      <c r="C104" s="1"/>
      <c r="D104" s="1"/>
      <c r="E104" s="1"/>
      <c r="F104" s="1"/>
      <c r="G104" s="1"/>
      <c r="H104" s="49"/>
      <c r="I104" s="49"/>
      <c r="J104" s="49"/>
      <c r="K104" s="49"/>
      <c r="L104" s="49"/>
      <c r="M104" s="49"/>
      <c r="N104" s="49"/>
      <c r="O104" s="49"/>
      <c r="P104" s="49"/>
      <c r="Q104" s="49"/>
      <c r="R104" s="49"/>
      <c r="S104" s="49"/>
      <c r="T104" s="49"/>
      <c r="U104" s="49"/>
      <c r="V104" s="49"/>
      <c r="W104" s="49"/>
      <c r="X104" s="49"/>
      <c r="Y104" s="49"/>
      <c r="Z104" s="49"/>
    </row>
    <row r="105" spans="1:26" ht="15.5">
      <c r="A105" s="1"/>
      <c r="B105" s="1"/>
      <c r="C105" s="1"/>
      <c r="D105" s="1"/>
      <c r="E105" s="1"/>
      <c r="F105" s="1"/>
      <c r="G105" s="1"/>
      <c r="H105" s="49"/>
      <c r="I105" s="49"/>
      <c r="J105" s="49"/>
      <c r="K105" s="49"/>
      <c r="L105" s="49"/>
      <c r="M105" s="49"/>
      <c r="N105" s="49"/>
      <c r="O105" s="49"/>
      <c r="P105" s="49"/>
      <c r="Q105" s="49"/>
      <c r="R105" s="49"/>
      <c r="S105" s="49"/>
      <c r="T105" s="49"/>
      <c r="U105" s="49"/>
      <c r="V105" s="49"/>
      <c r="W105" s="49"/>
      <c r="X105" s="49"/>
      <c r="Y105" s="49"/>
      <c r="Z105" s="49"/>
    </row>
    <row r="106" spans="1:26" ht="15.5">
      <c r="A106" s="1"/>
      <c r="B106" s="1"/>
      <c r="C106" s="1"/>
      <c r="D106" s="1"/>
      <c r="E106" s="1"/>
      <c r="F106" s="1"/>
      <c r="G106" s="1"/>
      <c r="H106" s="49"/>
      <c r="I106" s="49"/>
      <c r="J106" s="49"/>
      <c r="K106" s="49"/>
      <c r="L106" s="49"/>
      <c r="M106" s="49"/>
      <c r="N106" s="49"/>
      <c r="O106" s="49"/>
      <c r="P106" s="49"/>
      <c r="Q106" s="49"/>
      <c r="R106" s="49"/>
      <c r="S106" s="49"/>
      <c r="T106" s="49"/>
      <c r="U106" s="49"/>
      <c r="V106" s="49"/>
      <c r="W106" s="49"/>
      <c r="X106" s="49"/>
      <c r="Y106" s="49"/>
      <c r="Z106" s="49"/>
    </row>
    <row r="107" spans="1:26" ht="15.5">
      <c r="A107" s="1"/>
      <c r="B107" s="1"/>
      <c r="C107" s="1"/>
      <c r="D107" s="1"/>
      <c r="E107" s="1"/>
      <c r="F107" s="1"/>
      <c r="G107" s="1"/>
      <c r="H107" s="49"/>
      <c r="I107" s="49"/>
      <c r="J107" s="49"/>
      <c r="K107" s="49"/>
      <c r="L107" s="49"/>
      <c r="M107" s="49"/>
      <c r="N107" s="49"/>
      <c r="O107" s="49"/>
      <c r="P107" s="49"/>
      <c r="Q107" s="49"/>
      <c r="R107" s="49"/>
      <c r="S107" s="49"/>
      <c r="T107" s="49"/>
      <c r="U107" s="49"/>
      <c r="V107" s="49"/>
      <c r="W107" s="49"/>
      <c r="X107" s="49"/>
      <c r="Y107" s="49"/>
      <c r="Z107" s="49"/>
    </row>
    <row r="108" spans="1:26" ht="15.5">
      <c r="A108" s="1"/>
      <c r="B108" s="1"/>
      <c r="C108" s="1"/>
      <c r="D108" s="1"/>
      <c r="E108" s="1"/>
      <c r="F108" s="1"/>
      <c r="G108" s="1"/>
      <c r="H108" s="49"/>
      <c r="I108" s="49"/>
      <c r="J108" s="49"/>
      <c r="K108" s="49"/>
      <c r="L108" s="49"/>
      <c r="M108" s="49"/>
      <c r="N108" s="49"/>
      <c r="O108" s="49"/>
      <c r="P108" s="49"/>
      <c r="Q108" s="49"/>
      <c r="R108" s="49"/>
      <c r="S108" s="49"/>
      <c r="T108" s="49"/>
      <c r="U108" s="49"/>
      <c r="V108" s="49"/>
      <c r="W108" s="49"/>
      <c r="X108" s="49"/>
      <c r="Y108" s="49"/>
      <c r="Z108" s="49"/>
    </row>
    <row r="109" spans="1:26" ht="15.5">
      <c r="A109" s="1"/>
      <c r="B109" s="1"/>
      <c r="C109" s="1"/>
      <c r="D109" s="1"/>
      <c r="E109" s="1"/>
      <c r="F109" s="1"/>
      <c r="G109" s="1"/>
      <c r="H109" s="49"/>
      <c r="I109" s="49"/>
      <c r="J109" s="49"/>
      <c r="K109" s="49"/>
      <c r="L109" s="49"/>
      <c r="M109" s="49"/>
      <c r="N109" s="49"/>
      <c r="O109" s="49"/>
      <c r="P109" s="49"/>
      <c r="Q109" s="49"/>
      <c r="R109" s="49"/>
      <c r="S109" s="49"/>
      <c r="T109" s="49"/>
      <c r="U109" s="49"/>
      <c r="V109" s="49"/>
      <c r="W109" s="49"/>
      <c r="X109" s="49"/>
      <c r="Y109" s="49"/>
      <c r="Z109" s="49"/>
    </row>
    <row r="110" spans="1:26" ht="15.5">
      <c r="A110" s="1"/>
      <c r="B110" s="1"/>
      <c r="C110" s="1"/>
      <c r="D110" s="1"/>
      <c r="E110" s="1"/>
      <c r="F110" s="1"/>
      <c r="G110" s="1"/>
      <c r="H110" s="49"/>
      <c r="I110" s="49"/>
      <c r="J110" s="49"/>
      <c r="K110" s="49"/>
      <c r="L110" s="49"/>
      <c r="M110" s="49"/>
      <c r="N110" s="49"/>
      <c r="O110" s="49"/>
      <c r="P110" s="49"/>
      <c r="Q110" s="49"/>
      <c r="R110" s="49"/>
      <c r="S110" s="49"/>
      <c r="T110" s="49"/>
      <c r="U110" s="49"/>
      <c r="V110" s="49"/>
      <c r="W110" s="49"/>
      <c r="X110" s="49"/>
      <c r="Y110" s="49"/>
      <c r="Z110" s="49"/>
    </row>
    <row r="111" spans="1:26" ht="15.5">
      <c r="A111" s="1"/>
      <c r="B111" s="1"/>
      <c r="C111" s="1"/>
      <c r="D111" s="1"/>
      <c r="E111" s="1"/>
      <c r="F111" s="1"/>
      <c r="G111" s="1"/>
      <c r="H111" s="49"/>
      <c r="I111" s="49"/>
      <c r="J111" s="49"/>
      <c r="K111" s="49"/>
      <c r="L111" s="49"/>
      <c r="M111" s="49"/>
      <c r="N111" s="49"/>
      <c r="O111" s="49"/>
      <c r="P111" s="49"/>
      <c r="Q111" s="49"/>
      <c r="R111" s="49"/>
      <c r="S111" s="49"/>
      <c r="T111" s="49"/>
      <c r="U111" s="49"/>
      <c r="V111" s="49"/>
      <c r="W111" s="49"/>
      <c r="X111" s="49"/>
      <c r="Y111" s="49"/>
      <c r="Z111" s="49"/>
    </row>
    <row r="112" spans="1:26" ht="15.5">
      <c r="A112" s="1"/>
      <c r="B112" s="1"/>
      <c r="C112" s="1"/>
      <c r="D112" s="1"/>
      <c r="E112" s="1"/>
      <c r="F112" s="1"/>
      <c r="G112" s="1"/>
      <c r="H112" s="49"/>
      <c r="I112" s="49"/>
      <c r="J112" s="49"/>
      <c r="K112" s="49"/>
      <c r="L112" s="49"/>
      <c r="M112" s="49"/>
      <c r="N112" s="49"/>
      <c r="O112" s="49"/>
      <c r="P112" s="49"/>
      <c r="Q112" s="49"/>
      <c r="R112" s="49"/>
      <c r="S112" s="49"/>
      <c r="T112" s="49"/>
      <c r="U112" s="49"/>
      <c r="V112" s="49"/>
      <c r="W112" s="49"/>
      <c r="X112" s="49"/>
      <c r="Y112" s="49"/>
      <c r="Z112" s="49"/>
    </row>
    <row r="113" spans="1:26" ht="15.5">
      <c r="A113" s="1"/>
      <c r="B113" s="1"/>
      <c r="C113" s="1"/>
      <c r="D113" s="1"/>
      <c r="E113" s="1"/>
      <c r="F113" s="1"/>
      <c r="G113" s="1"/>
      <c r="H113" s="49"/>
      <c r="I113" s="49"/>
      <c r="J113" s="49"/>
      <c r="K113" s="49"/>
      <c r="L113" s="49"/>
      <c r="M113" s="49"/>
      <c r="N113" s="49"/>
      <c r="O113" s="49"/>
      <c r="P113" s="49"/>
      <c r="Q113" s="49"/>
      <c r="R113" s="49"/>
      <c r="S113" s="49"/>
      <c r="T113" s="49"/>
      <c r="U113" s="49"/>
      <c r="V113" s="49"/>
      <c r="W113" s="49"/>
      <c r="X113" s="49"/>
      <c r="Y113" s="49"/>
      <c r="Z113" s="49"/>
    </row>
    <row r="114" spans="1:26" ht="15.5">
      <c r="A114" s="1"/>
      <c r="B114" s="1"/>
      <c r="C114" s="1"/>
      <c r="D114" s="1"/>
      <c r="E114" s="1"/>
      <c r="F114" s="1"/>
      <c r="G114" s="1"/>
      <c r="H114" s="49"/>
      <c r="I114" s="49"/>
      <c r="J114" s="49"/>
      <c r="K114" s="49"/>
      <c r="L114" s="49"/>
      <c r="M114" s="49"/>
      <c r="N114" s="49"/>
      <c r="O114" s="49"/>
      <c r="P114" s="49"/>
      <c r="Q114" s="49"/>
      <c r="R114" s="49"/>
      <c r="S114" s="49"/>
      <c r="T114" s="49"/>
      <c r="U114" s="49"/>
      <c r="V114" s="49"/>
      <c r="W114" s="49"/>
      <c r="X114" s="49"/>
      <c r="Y114" s="49"/>
      <c r="Z114" s="49"/>
    </row>
    <row r="115" spans="1:26" ht="15.5">
      <c r="A115" s="1"/>
      <c r="B115" s="1"/>
      <c r="C115" s="1"/>
      <c r="D115" s="1"/>
      <c r="E115" s="1"/>
      <c r="F115" s="1"/>
      <c r="G115" s="1"/>
      <c r="H115" s="49"/>
      <c r="I115" s="49"/>
      <c r="J115" s="49"/>
      <c r="K115" s="49"/>
      <c r="L115" s="49"/>
      <c r="M115" s="49"/>
      <c r="N115" s="49"/>
      <c r="O115" s="49"/>
      <c r="P115" s="49"/>
      <c r="Q115" s="49"/>
      <c r="R115" s="49"/>
      <c r="S115" s="49"/>
      <c r="T115" s="49"/>
      <c r="U115" s="49"/>
      <c r="V115" s="49"/>
      <c r="W115" s="49"/>
      <c r="X115" s="49"/>
      <c r="Y115" s="49"/>
      <c r="Z115" s="49"/>
    </row>
    <row r="116" spans="1:26" ht="15.5">
      <c r="A116" s="1"/>
      <c r="B116" s="1"/>
      <c r="C116" s="1"/>
      <c r="D116" s="1"/>
      <c r="E116" s="1"/>
      <c r="F116" s="1"/>
      <c r="G116" s="1"/>
      <c r="H116" s="49"/>
      <c r="I116" s="49"/>
      <c r="J116" s="49"/>
      <c r="K116" s="49"/>
      <c r="L116" s="49"/>
      <c r="M116" s="49"/>
      <c r="N116" s="49"/>
      <c r="O116" s="49"/>
      <c r="P116" s="49"/>
      <c r="Q116" s="49"/>
      <c r="R116" s="49"/>
      <c r="S116" s="49"/>
      <c r="T116" s="49"/>
      <c r="U116" s="49"/>
      <c r="V116" s="49"/>
      <c r="W116" s="49"/>
      <c r="X116" s="49"/>
      <c r="Y116" s="49"/>
      <c r="Z116" s="49"/>
    </row>
    <row r="117" spans="1:26" ht="15.5">
      <c r="A117" s="1"/>
      <c r="B117" s="1"/>
      <c r="C117" s="1"/>
      <c r="D117" s="1"/>
      <c r="E117" s="1"/>
      <c r="F117" s="1"/>
      <c r="G117" s="1"/>
      <c r="H117" s="49"/>
      <c r="I117" s="49"/>
      <c r="J117" s="49"/>
      <c r="K117" s="49"/>
      <c r="L117" s="49"/>
      <c r="M117" s="49"/>
      <c r="N117" s="49"/>
      <c r="O117" s="49"/>
      <c r="P117" s="49"/>
      <c r="Q117" s="49"/>
      <c r="R117" s="49"/>
      <c r="S117" s="49"/>
      <c r="T117" s="49"/>
      <c r="U117" s="49"/>
      <c r="V117" s="49"/>
      <c r="W117" s="49"/>
      <c r="X117" s="49"/>
      <c r="Y117" s="49"/>
      <c r="Z117" s="49"/>
    </row>
    <row r="118" spans="1:26" ht="15.5">
      <c r="A118" s="1"/>
      <c r="B118" s="1"/>
      <c r="C118" s="1"/>
      <c r="D118" s="1"/>
      <c r="E118" s="1"/>
      <c r="F118" s="1"/>
      <c r="G118" s="1"/>
      <c r="H118" s="49"/>
      <c r="I118" s="49"/>
      <c r="J118" s="49"/>
      <c r="K118" s="49"/>
      <c r="L118" s="49"/>
      <c r="M118" s="49"/>
      <c r="N118" s="49"/>
      <c r="O118" s="49"/>
      <c r="P118" s="49"/>
      <c r="Q118" s="49"/>
      <c r="R118" s="49"/>
      <c r="S118" s="49"/>
      <c r="T118" s="49"/>
      <c r="U118" s="49"/>
      <c r="V118" s="49"/>
      <c r="W118" s="49"/>
      <c r="X118" s="49"/>
      <c r="Y118" s="49"/>
      <c r="Z118" s="49"/>
    </row>
    <row r="119" spans="1:26" ht="15.5">
      <c r="A119" s="1"/>
      <c r="B119" s="1"/>
      <c r="C119" s="1"/>
      <c r="D119" s="1"/>
      <c r="E119" s="1"/>
      <c r="F119" s="1"/>
      <c r="G119" s="1"/>
      <c r="H119" s="49"/>
      <c r="I119" s="49"/>
      <c r="J119" s="49"/>
      <c r="K119" s="49"/>
      <c r="L119" s="49"/>
      <c r="M119" s="49"/>
      <c r="N119" s="49"/>
      <c r="O119" s="49"/>
      <c r="P119" s="49"/>
      <c r="Q119" s="49"/>
      <c r="R119" s="49"/>
      <c r="S119" s="49"/>
      <c r="T119" s="49"/>
      <c r="U119" s="49"/>
      <c r="V119" s="49"/>
      <c r="W119" s="49"/>
      <c r="X119" s="49"/>
      <c r="Y119" s="49"/>
      <c r="Z119" s="49"/>
    </row>
    <row r="120" spans="1:26" ht="15.5">
      <c r="A120" s="1"/>
      <c r="B120" s="1"/>
      <c r="C120" s="1"/>
      <c r="D120" s="1"/>
      <c r="E120" s="1"/>
      <c r="F120" s="1"/>
      <c r="G120" s="1"/>
      <c r="H120" s="49"/>
      <c r="I120" s="49"/>
      <c r="J120" s="49"/>
      <c r="K120" s="49"/>
      <c r="L120" s="49"/>
      <c r="M120" s="49"/>
      <c r="N120" s="49"/>
      <c r="O120" s="49"/>
      <c r="P120" s="49"/>
      <c r="Q120" s="49"/>
      <c r="R120" s="49"/>
      <c r="S120" s="49"/>
      <c r="T120" s="49"/>
      <c r="U120" s="49"/>
      <c r="V120" s="49"/>
      <c r="W120" s="49"/>
      <c r="X120" s="49"/>
      <c r="Y120" s="49"/>
      <c r="Z120" s="49"/>
    </row>
    <row r="121" spans="1:26" ht="15.5">
      <c r="A121" s="1"/>
      <c r="B121" s="1"/>
      <c r="C121" s="1"/>
      <c r="D121" s="1"/>
      <c r="E121" s="1"/>
      <c r="F121" s="1"/>
      <c r="G121" s="1"/>
      <c r="H121" s="49"/>
      <c r="I121" s="49"/>
      <c r="J121" s="49"/>
      <c r="K121" s="49"/>
      <c r="L121" s="49"/>
      <c r="M121" s="49"/>
      <c r="N121" s="49"/>
      <c r="O121" s="49"/>
      <c r="P121" s="49"/>
      <c r="Q121" s="49"/>
      <c r="R121" s="49"/>
      <c r="S121" s="49"/>
      <c r="T121" s="49"/>
      <c r="U121" s="49"/>
      <c r="V121" s="49"/>
      <c r="W121" s="49"/>
      <c r="X121" s="49"/>
      <c r="Y121" s="49"/>
      <c r="Z121" s="49"/>
    </row>
    <row r="122" spans="1:26" ht="15.5">
      <c r="A122" s="1"/>
      <c r="B122" s="1"/>
      <c r="C122" s="1"/>
      <c r="D122" s="1"/>
      <c r="E122" s="1"/>
      <c r="F122" s="1"/>
      <c r="G122" s="1"/>
      <c r="H122" s="49"/>
      <c r="I122" s="49"/>
      <c r="J122" s="49"/>
      <c r="K122" s="49"/>
      <c r="L122" s="49"/>
      <c r="M122" s="49"/>
      <c r="N122" s="49"/>
      <c r="O122" s="49"/>
      <c r="P122" s="49"/>
      <c r="Q122" s="49"/>
      <c r="R122" s="49"/>
      <c r="S122" s="49"/>
      <c r="T122" s="49"/>
      <c r="U122" s="49"/>
      <c r="V122" s="49"/>
      <c r="W122" s="49"/>
      <c r="X122" s="49"/>
      <c r="Y122" s="49"/>
      <c r="Z122" s="49"/>
    </row>
    <row r="123" spans="1:26" ht="15.5">
      <c r="A123" s="1"/>
      <c r="B123" s="1"/>
      <c r="C123" s="1"/>
      <c r="D123" s="1"/>
      <c r="E123" s="1"/>
      <c r="F123" s="1"/>
      <c r="G123" s="1"/>
      <c r="H123" s="49"/>
      <c r="I123" s="49"/>
      <c r="J123" s="49"/>
      <c r="K123" s="49"/>
      <c r="L123" s="49"/>
      <c r="M123" s="49"/>
      <c r="N123" s="49"/>
      <c r="O123" s="49"/>
      <c r="P123" s="49"/>
      <c r="Q123" s="49"/>
      <c r="R123" s="49"/>
      <c r="S123" s="49"/>
      <c r="T123" s="49"/>
      <c r="U123" s="49"/>
      <c r="V123" s="49"/>
      <c r="W123" s="49"/>
      <c r="X123" s="49"/>
      <c r="Y123" s="49"/>
      <c r="Z123" s="49"/>
    </row>
    <row r="124" spans="1:26" ht="15.5">
      <c r="A124" s="1"/>
      <c r="B124" s="1"/>
      <c r="C124" s="1"/>
      <c r="D124" s="1"/>
      <c r="E124" s="1"/>
      <c r="F124" s="1"/>
      <c r="G124" s="1"/>
      <c r="H124" s="49"/>
      <c r="I124" s="49"/>
      <c r="J124" s="49"/>
      <c r="K124" s="49"/>
      <c r="L124" s="49"/>
      <c r="M124" s="49"/>
      <c r="N124" s="49"/>
      <c r="O124" s="49"/>
      <c r="P124" s="49"/>
      <c r="Q124" s="49"/>
      <c r="R124" s="49"/>
      <c r="S124" s="49"/>
      <c r="T124" s="49"/>
      <c r="U124" s="49"/>
      <c r="V124" s="49"/>
      <c r="W124" s="49"/>
      <c r="X124" s="49"/>
      <c r="Y124" s="49"/>
      <c r="Z124" s="49"/>
    </row>
    <row r="125" spans="1:26" ht="15.5">
      <c r="A125" s="1"/>
      <c r="B125" s="1"/>
      <c r="C125" s="1"/>
      <c r="D125" s="1"/>
      <c r="E125" s="1"/>
      <c r="F125" s="1"/>
      <c r="G125" s="1"/>
      <c r="H125" s="49"/>
      <c r="I125" s="49"/>
      <c r="J125" s="49"/>
      <c r="K125" s="49"/>
      <c r="L125" s="49"/>
      <c r="M125" s="49"/>
      <c r="N125" s="49"/>
      <c r="O125" s="49"/>
      <c r="P125" s="49"/>
      <c r="Q125" s="49"/>
      <c r="R125" s="49"/>
      <c r="S125" s="49"/>
      <c r="T125" s="49"/>
      <c r="U125" s="49"/>
      <c r="V125" s="49"/>
      <c r="W125" s="49"/>
      <c r="X125" s="49"/>
      <c r="Y125" s="49"/>
      <c r="Z125" s="49"/>
    </row>
    <row r="126" spans="1:26" ht="15.5">
      <c r="A126" s="1"/>
      <c r="B126" s="1"/>
      <c r="C126" s="1"/>
      <c r="D126" s="1"/>
      <c r="E126" s="1"/>
      <c r="F126" s="1"/>
      <c r="G126" s="1"/>
      <c r="H126" s="49"/>
      <c r="I126" s="49"/>
      <c r="J126" s="49"/>
      <c r="K126" s="49"/>
      <c r="L126" s="49"/>
      <c r="M126" s="49"/>
      <c r="N126" s="49"/>
      <c r="O126" s="49"/>
      <c r="P126" s="49"/>
      <c r="Q126" s="49"/>
      <c r="R126" s="49"/>
      <c r="S126" s="49"/>
      <c r="T126" s="49"/>
      <c r="U126" s="49"/>
      <c r="V126" s="49"/>
      <c r="W126" s="49"/>
      <c r="X126" s="49"/>
      <c r="Y126" s="49"/>
      <c r="Z126" s="49"/>
    </row>
    <row r="127" spans="1:26" ht="15.5">
      <c r="A127" s="1"/>
      <c r="B127" s="1"/>
      <c r="C127" s="1"/>
      <c r="D127" s="1"/>
      <c r="E127" s="1"/>
      <c r="F127" s="1"/>
      <c r="G127" s="1"/>
      <c r="H127" s="49"/>
      <c r="I127" s="49"/>
      <c r="J127" s="49"/>
      <c r="K127" s="49"/>
      <c r="L127" s="49"/>
      <c r="M127" s="49"/>
      <c r="N127" s="49"/>
      <c r="O127" s="49"/>
      <c r="P127" s="49"/>
      <c r="Q127" s="49"/>
      <c r="R127" s="49"/>
      <c r="S127" s="49"/>
      <c r="T127" s="49"/>
      <c r="U127" s="49"/>
      <c r="V127" s="49"/>
      <c r="W127" s="49"/>
      <c r="X127" s="49"/>
      <c r="Y127" s="49"/>
      <c r="Z127" s="49"/>
    </row>
    <row r="128" spans="1:26" ht="15.5">
      <c r="A128" s="1"/>
      <c r="B128" s="1"/>
      <c r="C128" s="1"/>
      <c r="D128" s="1"/>
      <c r="E128" s="1"/>
      <c r="F128" s="1"/>
      <c r="G128" s="1"/>
      <c r="H128" s="49"/>
      <c r="I128" s="49"/>
      <c r="J128" s="49"/>
      <c r="K128" s="49"/>
      <c r="L128" s="49"/>
      <c r="M128" s="49"/>
      <c r="N128" s="49"/>
      <c r="O128" s="49"/>
      <c r="P128" s="49"/>
      <c r="Q128" s="49"/>
      <c r="R128" s="49"/>
      <c r="S128" s="49"/>
      <c r="T128" s="49"/>
      <c r="U128" s="49"/>
      <c r="V128" s="49"/>
      <c r="W128" s="49"/>
      <c r="X128" s="49"/>
      <c r="Y128" s="49"/>
      <c r="Z128" s="49"/>
    </row>
    <row r="129" spans="1:26" ht="15.5">
      <c r="A129" s="1"/>
      <c r="B129" s="1"/>
      <c r="C129" s="1"/>
      <c r="D129" s="1"/>
      <c r="E129" s="1"/>
      <c r="F129" s="1"/>
      <c r="G129" s="1"/>
      <c r="H129" s="49"/>
      <c r="I129" s="49"/>
      <c r="J129" s="49"/>
      <c r="K129" s="49"/>
      <c r="L129" s="49"/>
      <c r="M129" s="49"/>
      <c r="N129" s="49"/>
      <c r="O129" s="49"/>
      <c r="P129" s="49"/>
      <c r="Q129" s="49"/>
      <c r="R129" s="49"/>
      <c r="S129" s="49"/>
      <c r="T129" s="49"/>
      <c r="U129" s="49"/>
      <c r="V129" s="49"/>
      <c r="W129" s="49"/>
      <c r="X129" s="49"/>
      <c r="Y129" s="49"/>
      <c r="Z129" s="49"/>
    </row>
    <row r="130" spans="1:26" ht="15.5">
      <c r="A130" s="1"/>
      <c r="B130" s="1"/>
      <c r="C130" s="1"/>
      <c r="D130" s="1"/>
      <c r="E130" s="1"/>
      <c r="F130" s="1"/>
      <c r="G130" s="1"/>
      <c r="H130" s="49"/>
      <c r="I130" s="49"/>
      <c r="J130" s="49"/>
      <c r="K130" s="49"/>
      <c r="L130" s="49"/>
      <c r="M130" s="49"/>
      <c r="N130" s="49"/>
      <c r="O130" s="49"/>
      <c r="P130" s="49"/>
      <c r="Q130" s="49"/>
      <c r="R130" s="49"/>
      <c r="S130" s="49"/>
      <c r="T130" s="49"/>
      <c r="U130" s="49"/>
      <c r="V130" s="49"/>
      <c r="W130" s="49"/>
      <c r="X130" s="49"/>
      <c r="Y130" s="49"/>
      <c r="Z130" s="49"/>
    </row>
    <row r="131" spans="1:26" ht="15.5">
      <c r="A131" s="1"/>
      <c r="B131" s="1"/>
      <c r="C131" s="1"/>
      <c r="D131" s="1"/>
      <c r="E131" s="1"/>
      <c r="F131" s="1"/>
      <c r="G131" s="1"/>
      <c r="H131" s="49"/>
      <c r="I131" s="49"/>
      <c r="J131" s="49"/>
      <c r="K131" s="49"/>
      <c r="L131" s="49"/>
      <c r="M131" s="49"/>
      <c r="N131" s="49"/>
      <c r="O131" s="49"/>
      <c r="P131" s="49"/>
      <c r="Q131" s="49"/>
      <c r="R131" s="49"/>
      <c r="S131" s="49"/>
      <c r="T131" s="49"/>
      <c r="U131" s="49"/>
      <c r="V131" s="49"/>
      <c r="W131" s="49"/>
      <c r="X131" s="49"/>
      <c r="Y131" s="49"/>
      <c r="Z131" s="49"/>
    </row>
    <row r="132" spans="1:26" ht="15.5">
      <c r="A132" s="1"/>
      <c r="B132" s="1"/>
      <c r="C132" s="1"/>
      <c r="D132" s="1"/>
      <c r="E132" s="1"/>
      <c r="F132" s="1"/>
      <c r="G132" s="1"/>
      <c r="H132" s="49"/>
      <c r="I132" s="49"/>
      <c r="J132" s="49"/>
      <c r="K132" s="49"/>
      <c r="L132" s="49"/>
      <c r="M132" s="49"/>
      <c r="N132" s="49"/>
      <c r="O132" s="49"/>
      <c r="P132" s="49"/>
      <c r="Q132" s="49"/>
      <c r="R132" s="49"/>
      <c r="S132" s="49"/>
      <c r="T132" s="49"/>
      <c r="U132" s="49"/>
      <c r="V132" s="49"/>
      <c r="W132" s="49"/>
      <c r="X132" s="49"/>
      <c r="Y132" s="49"/>
      <c r="Z132" s="49"/>
    </row>
    <row r="133" spans="1:26" ht="15.5">
      <c r="A133" s="1"/>
      <c r="B133" s="1"/>
      <c r="C133" s="1"/>
      <c r="D133" s="1"/>
      <c r="E133" s="1"/>
      <c r="F133" s="1"/>
      <c r="G133" s="1"/>
      <c r="H133" s="49"/>
      <c r="I133" s="49"/>
      <c r="J133" s="49"/>
      <c r="K133" s="49"/>
      <c r="L133" s="49"/>
      <c r="M133" s="49"/>
      <c r="N133" s="49"/>
      <c r="O133" s="49"/>
      <c r="P133" s="49"/>
      <c r="Q133" s="49"/>
      <c r="R133" s="49"/>
      <c r="S133" s="49"/>
      <c r="T133" s="49"/>
      <c r="U133" s="49"/>
      <c r="V133" s="49"/>
      <c r="W133" s="49"/>
      <c r="X133" s="49"/>
      <c r="Y133" s="49"/>
      <c r="Z133" s="49"/>
    </row>
    <row r="134" spans="1:26" ht="15.5">
      <c r="A134" s="1"/>
      <c r="B134" s="1"/>
      <c r="C134" s="1"/>
      <c r="D134" s="1"/>
      <c r="E134" s="1"/>
      <c r="F134" s="1"/>
      <c r="G134" s="1"/>
      <c r="H134" s="49"/>
      <c r="I134" s="49"/>
      <c r="J134" s="49"/>
      <c r="K134" s="49"/>
      <c r="L134" s="49"/>
      <c r="M134" s="49"/>
      <c r="N134" s="49"/>
      <c r="O134" s="49"/>
      <c r="P134" s="49"/>
      <c r="Q134" s="49"/>
      <c r="R134" s="49"/>
      <c r="S134" s="49"/>
      <c r="T134" s="49"/>
      <c r="U134" s="49"/>
      <c r="V134" s="49"/>
      <c r="W134" s="49"/>
      <c r="X134" s="49"/>
      <c r="Y134" s="49"/>
      <c r="Z134" s="49"/>
    </row>
    <row r="135" spans="1:26" ht="15.5">
      <c r="A135" s="1"/>
      <c r="B135" s="1"/>
      <c r="C135" s="1"/>
      <c r="D135" s="1"/>
      <c r="E135" s="1"/>
      <c r="F135" s="1"/>
      <c r="G135" s="1"/>
      <c r="H135" s="49"/>
      <c r="I135" s="49"/>
      <c r="J135" s="49"/>
      <c r="K135" s="49"/>
      <c r="L135" s="49"/>
      <c r="M135" s="49"/>
      <c r="N135" s="49"/>
      <c r="O135" s="49"/>
      <c r="P135" s="49"/>
      <c r="Q135" s="49"/>
      <c r="R135" s="49"/>
      <c r="S135" s="49"/>
      <c r="T135" s="49"/>
      <c r="U135" s="49"/>
      <c r="V135" s="49"/>
      <c r="W135" s="49"/>
      <c r="X135" s="49"/>
      <c r="Y135" s="49"/>
      <c r="Z135" s="49"/>
    </row>
    <row r="136" spans="1:26" ht="15.5">
      <c r="A136" s="1"/>
      <c r="B136" s="1"/>
      <c r="C136" s="1"/>
      <c r="D136" s="1"/>
      <c r="E136" s="1"/>
      <c r="F136" s="1"/>
      <c r="G136" s="1"/>
      <c r="H136" s="49"/>
      <c r="I136" s="49"/>
      <c r="J136" s="49"/>
      <c r="K136" s="49"/>
      <c r="L136" s="49"/>
      <c r="M136" s="49"/>
      <c r="N136" s="49"/>
      <c r="O136" s="49"/>
      <c r="P136" s="49"/>
      <c r="Q136" s="49"/>
      <c r="R136" s="49"/>
      <c r="S136" s="49"/>
      <c r="T136" s="49"/>
      <c r="U136" s="49"/>
      <c r="V136" s="49"/>
      <c r="W136" s="49"/>
      <c r="X136" s="49"/>
      <c r="Y136" s="49"/>
      <c r="Z136" s="49"/>
    </row>
    <row r="137" spans="1:26" ht="15.5">
      <c r="A137" s="1"/>
      <c r="B137" s="1"/>
      <c r="C137" s="1"/>
      <c r="D137" s="1"/>
      <c r="E137" s="1"/>
      <c r="F137" s="1"/>
      <c r="G137" s="1"/>
      <c r="H137" s="49"/>
      <c r="I137" s="49"/>
      <c r="J137" s="49"/>
      <c r="K137" s="49"/>
      <c r="L137" s="49"/>
      <c r="M137" s="49"/>
      <c r="N137" s="49"/>
      <c r="O137" s="49"/>
      <c r="P137" s="49"/>
      <c r="Q137" s="49"/>
      <c r="R137" s="49"/>
      <c r="S137" s="49"/>
      <c r="T137" s="49"/>
      <c r="U137" s="49"/>
      <c r="V137" s="49"/>
      <c r="W137" s="49"/>
      <c r="X137" s="49"/>
      <c r="Y137" s="49"/>
      <c r="Z137" s="49"/>
    </row>
    <row r="138" spans="1:26" ht="15.5">
      <c r="A138" s="1"/>
      <c r="B138" s="1"/>
      <c r="C138" s="1"/>
      <c r="D138" s="1"/>
      <c r="E138" s="1"/>
      <c r="F138" s="1"/>
      <c r="G138" s="1"/>
      <c r="H138" s="49"/>
      <c r="I138" s="49"/>
      <c r="J138" s="49"/>
      <c r="K138" s="49"/>
      <c r="L138" s="49"/>
      <c r="M138" s="49"/>
      <c r="N138" s="49"/>
      <c r="O138" s="49"/>
      <c r="P138" s="49"/>
      <c r="Q138" s="49"/>
      <c r="R138" s="49"/>
      <c r="S138" s="49"/>
      <c r="T138" s="49"/>
      <c r="U138" s="49"/>
      <c r="V138" s="49"/>
      <c r="W138" s="49"/>
      <c r="X138" s="49"/>
      <c r="Y138" s="49"/>
      <c r="Z138" s="49"/>
    </row>
    <row r="139" spans="1:26" ht="15.5">
      <c r="A139" s="1"/>
      <c r="B139" s="1"/>
      <c r="C139" s="1"/>
      <c r="D139" s="1"/>
      <c r="E139" s="1"/>
      <c r="F139" s="1"/>
      <c r="G139" s="1"/>
      <c r="H139" s="49"/>
      <c r="I139" s="49"/>
      <c r="J139" s="49"/>
      <c r="K139" s="49"/>
      <c r="L139" s="49"/>
      <c r="M139" s="49"/>
      <c r="N139" s="49"/>
      <c r="O139" s="49"/>
      <c r="P139" s="49"/>
      <c r="Q139" s="49"/>
      <c r="R139" s="49"/>
      <c r="S139" s="49"/>
      <c r="T139" s="49"/>
      <c r="U139" s="49"/>
      <c r="V139" s="49"/>
      <c r="W139" s="49"/>
      <c r="X139" s="49"/>
      <c r="Y139" s="49"/>
      <c r="Z139" s="49"/>
    </row>
    <row r="140" spans="1:26" ht="15.5">
      <c r="A140" s="1"/>
      <c r="B140" s="1"/>
      <c r="C140" s="1"/>
      <c r="D140" s="1"/>
      <c r="E140" s="1"/>
      <c r="F140" s="1"/>
      <c r="G140" s="1"/>
      <c r="H140" s="49"/>
      <c r="I140" s="49"/>
      <c r="J140" s="49"/>
      <c r="K140" s="49"/>
      <c r="L140" s="49"/>
      <c r="M140" s="49"/>
      <c r="N140" s="49"/>
      <c r="O140" s="49"/>
      <c r="P140" s="49"/>
      <c r="Q140" s="49"/>
      <c r="R140" s="49"/>
      <c r="S140" s="49"/>
      <c r="T140" s="49"/>
      <c r="U140" s="49"/>
      <c r="V140" s="49"/>
      <c r="W140" s="49"/>
      <c r="X140" s="49"/>
      <c r="Y140" s="49"/>
      <c r="Z140" s="49"/>
    </row>
    <row r="141" spans="1:26" ht="15.5">
      <c r="A141" s="1"/>
      <c r="B141" s="1"/>
      <c r="C141" s="1"/>
      <c r="D141" s="1"/>
      <c r="E141" s="1"/>
      <c r="F141" s="1"/>
      <c r="G141" s="1"/>
      <c r="H141" s="49"/>
      <c r="I141" s="49"/>
      <c r="J141" s="49"/>
      <c r="K141" s="49"/>
      <c r="L141" s="49"/>
      <c r="M141" s="49"/>
      <c r="N141" s="49"/>
      <c r="O141" s="49"/>
      <c r="P141" s="49"/>
      <c r="Q141" s="49"/>
      <c r="R141" s="49"/>
      <c r="S141" s="49"/>
      <c r="T141" s="49"/>
      <c r="U141" s="49"/>
      <c r="V141" s="49"/>
      <c r="W141" s="49"/>
      <c r="X141" s="49"/>
      <c r="Y141" s="49"/>
      <c r="Z141" s="49"/>
    </row>
    <row r="142" spans="1:26" ht="15.5">
      <c r="A142" s="1"/>
      <c r="B142" s="1"/>
      <c r="C142" s="1"/>
      <c r="D142" s="1"/>
      <c r="E142" s="1"/>
      <c r="F142" s="1"/>
      <c r="G142" s="1"/>
      <c r="H142" s="49"/>
      <c r="I142" s="49"/>
      <c r="J142" s="49"/>
      <c r="K142" s="49"/>
      <c r="L142" s="49"/>
      <c r="M142" s="49"/>
      <c r="N142" s="49"/>
      <c r="O142" s="49"/>
      <c r="P142" s="49"/>
      <c r="Q142" s="49"/>
      <c r="R142" s="49"/>
      <c r="S142" s="49"/>
      <c r="T142" s="49"/>
      <c r="U142" s="49"/>
      <c r="V142" s="49"/>
      <c r="W142" s="49"/>
      <c r="X142" s="49"/>
      <c r="Y142" s="49"/>
      <c r="Z142" s="49"/>
    </row>
    <row r="143" spans="1:26" ht="15.5">
      <c r="A143" s="1"/>
      <c r="B143" s="1"/>
      <c r="C143" s="1"/>
      <c r="D143" s="1"/>
      <c r="E143" s="1"/>
      <c r="F143" s="1"/>
      <c r="G143" s="1"/>
      <c r="H143" s="49"/>
      <c r="I143" s="49"/>
      <c r="J143" s="49"/>
      <c r="K143" s="49"/>
      <c r="L143" s="49"/>
      <c r="M143" s="49"/>
      <c r="N143" s="49"/>
      <c r="O143" s="49"/>
      <c r="P143" s="49"/>
      <c r="Q143" s="49"/>
      <c r="R143" s="49"/>
      <c r="S143" s="49"/>
      <c r="T143" s="49"/>
      <c r="U143" s="49"/>
      <c r="V143" s="49"/>
      <c r="W143" s="49"/>
      <c r="X143" s="49"/>
      <c r="Y143" s="49"/>
      <c r="Z143" s="49"/>
    </row>
    <row r="144" spans="1:26" ht="15.5">
      <c r="A144" s="1"/>
      <c r="B144" s="1"/>
      <c r="C144" s="1"/>
      <c r="D144" s="1"/>
      <c r="E144" s="1"/>
      <c r="F144" s="1"/>
      <c r="G144" s="1"/>
      <c r="H144" s="49"/>
      <c r="I144" s="49"/>
      <c r="J144" s="49"/>
      <c r="K144" s="49"/>
      <c r="L144" s="49"/>
      <c r="M144" s="49"/>
      <c r="N144" s="49"/>
      <c r="O144" s="49"/>
      <c r="P144" s="49"/>
      <c r="Q144" s="49"/>
      <c r="R144" s="49"/>
      <c r="S144" s="49"/>
      <c r="T144" s="49"/>
      <c r="U144" s="49"/>
      <c r="V144" s="49"/>
      <c r="W144" s="49"/>
      <c r="X144" s="49"/>
      <c r="Y144" s="49"/>
      <c r="Z144" s="49"/>
    </row>
    <row r="145" spans="1:26" ht="15.5">
      <c r="A145" s="1"/>
      <c r="B145" s="1"/>
      <c r="C145" s="1"/>
      <c r="D145" s="1"/>
      <c r="E145" s="1"/>
      <c r="F145" s="1"/>
      <c r="G145" s="1"/>
      <c r="H145" s="49"/>
      <c r="I145" s="49"/>
      <c r="J145" s="49"/>
      <c r="K145" s="49"/>
      <c r="L145" s="49"/>
      <c r="M145" s="49"/>
      <c r="N145" s="49"/>
      <c r="O145" s="49"/>
      <c r="P145" s="49"/>
      <c r="Q145" s="49"/>
      <c r="R145" s="49"/>
      <c r="S145" s="49"/>
      <c r="T145" s="49"/>
      <c r="U145" s="49"/>
      <c r="V145" s="49"/>
      <c r="W145" s="49"/>
      <c r="X145" s="49"/>
      <c r="Y145" s="49"/>
      <c r="Z145" s="49"/>
    </row>
    <row r="146" spans="1:26" ht="15.5">
      <c r="A146" s="1"/>
      <c r="B146" s="1"/>
      <c r="C146" s="1"/>
      <c r="D146" s="1"/>
      <c r="E146" s="1"/>
      <c r="F146" s="1"/>
      <c r="G146" s="1"/>
      <c r="H146" s="49"/>
      <c r="I146" s="49"/>
      <c r="J146" s="49"/>
      <c r="K146" s="49"/>
      <c r="L146" s="49"/>
      <c r="M146" s="49"/>
      <c r="N146" s="49"/>
      <c r="O146" s="49"/>
      <c r="P146" s="49"/>
      <c r="Q146" s="49"/>
      <c r="R146" s="49"/>
      <c r="S146" s="49"/>
      <c r="T146" s="49"/>
      <c r="U146" s="49"/>
      <c r="V146" s="49"/>
      <c r="W146" s="49"/>
      <c r="X146" s="49"/>
      <c r="Y146" s="49"/>
      <c r="Z146" s="49"/>
    </row>
    <row r="147" spans="1:26" ht="15.5">
      <c r="A147" s="1"/>
      <c r="B147" s="1"/>
      <c r="C147" s="1"/>
      <c r="D147" s="1"/>
      <c r="E147" s="1"/>
      <c r="F147" s="1"/>
      <c r="G147" s="1"/>
      <c r="H147" s="49"/>
      <c r="I147" s="49"/>
      <c r="J147" s="49"/>
      <c r="K147" s="49"/>
      <c r="L147" s="49"/>
      <c r="M147" s="49"/>
      <c r="N147" s="49"/>
      <c r="O147" s="49"/>
      <c r="P147" s="49"/>
      <c r="Q147" s="49"/>
      <c r="R147" s="49"/>
      <c r="S147" s="49"/>
      <c r="T147" s="49"/>
      <c r="U147" s="49"/>
      <c r="V147" s="49"/>
      <c r="W147" s="49"/>
      <c r="X147" s="49"/>
      <c r="Y147" s="49"/>
      <c r="Z147" s="49"/>
    </row>
    <row r="148" spans="1:26" ht="15.5">
      <c r="A148" s="1"/>
      <c r="B148" s="1"/>
      <c r="C148" s="1"/>
      <c r="D148" s="1"/>
      <c r="E148" s="1"/>
      <c r="F148" s="1"/>
      <c r="G148" s="1"/>
      <c r="H148" s="49"/>
      <c r="I148" s="49"/>
      <c r="J148" s="49"/>
      <c r="K148" s="49"/>
      <c r="L148" s="49"/>
      <c r="M148" s="49"/>
      <c r="N148" s="49"/>
      <c r="O148" s="49"/>
      <c r="P148" s="49"/>
      <c r="Q148" s="49"/>
      <c r="R148" s="49"/>
      <c r="S148" s="49"/>
      <c r="T148" s="49"/>
      <c r="U148" s="49"/>
      <c r="V148" s="49"/>
      <c r="W148" s="49"/>
      <c r="X148" s="49"/>
      <c r="Y148" s="49"/>
      <c r="Z148" s="49"/>
    </row>
    <row r="149" spans="1:26" ht="15.5">
      <c r="A149" s="1"/>
      <c r="B149" s="1"/>
      <c r="C149" s="1"/>
      <c r="D149" s="1"/>
      <c r="E149" s="1"/>
      <c r="F149" s="1"/>
      <c r="G149" s="1"/>
      <c r="H149" s="49"/>
      <c r="I149" s="49"/>
      <c r="J149" s="49"/>
      <c r="K149" s="49"/>
      <c r="L149" s="49"/>
      <c r="M149" s="49"/>
      <c r="N149" s="49"/>
      <c r="O149" s="49"/>
      <c r="P149" s="49"/>
      <c r="Q149" s="49"/>
      <c r="R149" s="49"/>
      <c r="S149" s="49"/>
      <c r="T149" s="49"/>
      <c r="U149" s="49"/>
      <c r="V149" s="49"/>
      <c r="W149" s="49"/>
      <c r="X149" s="49"/>
      <c r="Y149" s="49"/>
      <c r="Z149" s="49"/>
    </row>
    <row r="150" spans="1:26" ht="15.5">
      <c r="A150" s="1"/>
      <c r="B150" s="1"/>
      <c r="C150" s="1"/>
      <c r="D150" s="1"/>
      <c r="E150" s="1"/>
      <c r="F150" s="1"/>
      <c r="G150" s="1"/>
      <c r="H150" s="49"/>
      <c r="I150" s="49"/>
      <c r="J150" s="49"/>
      <c r="K150" s="49"/>
      <c r="L150" s="49"/>
      <c r="M150" s="49"/>
      <c r="N150" s="49"/>
      <c r="O150" s="49"/>
      <c r="P150" s="49"/>
      <c r="Q150" s="49"/>
      <c r="R150" s="49"/>
      <c r="S150" s="49"/>
      <c r="T150" s="49"/>
      <c r="U150" s="49"/>
      <c r="V150" s="49"/>
      <c r="W150" s="49"/>
      <c r="X150" s="49"/>
      <c r="Y150" s="49"/>
      <c r="Z150" s="49"/>
    </row>
    <row r="151" spans="1:26" ht="15.5">
      <c r="A151" s="1"/>
      <c r="B151" s="1"/>
      <c r="C151" s="1"/>
      <c r="D151" s="1"/>
      <c r="E151" s="1"/>
      <c r="F151" s="1"/>
      <c r="G151" s="1"/>
      <c r="H151" s="49"/>
      <c r="I151" s="49"/>
      <c r="J151" s="49"/>
      <c r="K151" s="49"/>
      <c r="L151" s="49"/>
      <c r="M151" s="49"/>
      <c r="N151" s="49"/>
      <c r="O151" s="49"/>
      <c r="P151" s="49"/>
      <c r="Q151" s="49"/>
      <c r="R151" s="49"/>
      <c r="S151" s="49"/>
      <c r="T151" s="49"/>
      <c r="U151" s="49"/>
      <c r="V151" s="49"/>
      <c r="W151" s="49"/>
      <c r="X151" s="49"/>
      <c r="Y151" s="49"/>
      <c r="Z151" s="49"/>
    </row>
    <row r="152" spans="1:26" ht="15.5">
      <c r="A152" s="1"/>
      <c r="B152" s="1"/>
      <c r="C152" s="1"/>
      <c r="D152" s="1"/>
      <c r="E152" s="1"/>
      <c r="F152" s="1"/>
      <c r="G152" s="1"/>
      <c r="H152" s="49"/>
      <c r="I152" s="49"/>
      <c r="J152" s="49"/>
      <c r="K152" s="49"/>
      <c r="L152" s="49"/>
      <c r="M152" s="49"/>
      <c r="N152" s="49"/>
      <c r="O152" s="49"/>
      <c r="P152" s="49"/>
      <c r="Q152" s="49"/>
      <c r="R152" s="49"/>
      <c r="S152" s="49"/>
      <c r="T152" s="49"/>
      <c r="U152" s="49"/>
      <c r="V152" s="49"/>
      <c r="W152" s="49"/>
      <c r="X152" s="49"/>
      <c r="Y152" s="49"/>
      <c r="Z152" s="49"/>
    </row>
    <row r="153" spans="1:26" ht="15.5">
      <c r="A153" s="1"/>
      <c r="B153" s="1"/>
      <c r="C153" s="1"/>
      <c r="D153" s="1"/>
      <c r="E153" s="1"/>
      <c r="F153" s="1"/>
      <c r="G153" s="1"/>
      <c r="H153" s="49"/>
      <c r="I153" s="49"/>
      <c r="J153" s="49"/>
      <c r="K153" s="49"/>
      <c r="L153" s="49"/>
      <c r="M153" s="49"/>
      <c r="N153" s="49"/>
      <c r="O153" s="49"/>
      <c r="P153" s="49"/>
      <c r="Q153" s="49"/>
      <c r="R153" s="49"/>
      <c r="S153" s="49"/>
      <c r="T153" s="49"/>
      <c r="U153" s="49"/>
      <c r="V153" s="49"/>
      <c r="W153" s="49"/>
      <c r="X153" s="49"/>
      <c r="Y153" s="49"/>
      <c r="Z153" s="49"/>
    </row>
    <row r="154" spans="1:26" ht="15.5">
      <c r="A154" s="1"/>
      <c r="B154" s="1"/>
      <c r="C154" s="1"/>
      <c r="D154" s="1"/>
      <c r="E154" s="1"/>
      <c r="F154" s="1"/>
      <c r="G154" s="1"/>
      <c r="H154" s="49"/>
      <c r="I154" s="49"/>
      <c r="J154" s="49"/>
      <c r="K154" s="49"/>
      <c r="L154" s="49"/>
      <c r="M154" s="49"/>
      <c r="N154" s="49"/>
      <c r="O154" s="49"/>
      <c r="P154" s="49"/>
      <c r="Q154" s="49"/>
      <c r="R154" s="49"/>
      <c r="S154" s="49"/>
      <c r="T154" s="49"/>
      <c r="U154" s="49"/>
      <c r="V154" s="49"/>
      <c r="W154" s="49"/>
      <c r="X154" s="49"/>
      <c r="Y154" s="49"/>
      <c r="Z154" s="49"/>
    </row>
    <row r="155" spans="1:26" ht="15.5">
      <c r="A155" s="1"/>
      <c r="B155" s="1"/>
      <c r="C155" s="1"/>
      <c r="D155" s="1"/>
      <c r="E155" s="1"/>
      <c r="F155" s="1"/>
      <c r="G155" s="1"/>
      <c r="H155" s="49"/>
      <c r="I155" s="49"/>
      <c r="J155" s="49"/>
      <c r="K155" s="49"/>
      <c r="L155" s="49"/>
      <c r="M155" s="49"/>
      <c r="N155" s="49"/>
      <c r="O155" s="49"/>
      <c r="P155" s="49"/>
      <c r="Q155" s="49"/>
      <c r="R155" s="49"/>
      <c r="S155" s="49"/>
      <c r="T155" s="49"/>
      <c r="U155" s="49"/>
      <c r="V155" s="49"/>
      <c r="W155" s="49"/>
      <c r="X155" s="49"/>
      <c r="Y155" s="49"/>
      <c r="Z155" s="49"/>
    </row>
    <row r="156" spans="1:26" ht="15.5">
      <c r="A156" s="1"/>
      <c r="B156" s="1"/>
      <c r="C156" s="1"/>
      <c r="D156" s="1"/>
      <c r="E156" s="1"/>
      <c r="F156" s="1"/>
      <c r="G156" s="1"/>
      <c r="H156" s="49"/>
      <c r="I156" s="49"/>
      <c r="J156" s="49"/>
      <c r="K156" s="49"/>
      <c r="L156" s="49"/>
      <c r="M156" s="49"/>
      <c r="N156" s="49"/>
      <c r="O156" s="49"/>
      <c r="P156" s="49"/>
      <c r="Q156" s="49"/>
      <c r="R156" s="49"/>
      <c r="S156" s="49"/>
      <c r="T156" s="49"/>
      <c r="U156" s="49"/>
      <c r="V156" s="49"/>
      <c r="W156" s="49"/>
      <c r="X156" s="49"/>
      <c r="Y156" s="49"/>
      <c r="Z156" s="49"/>
    </row>
    <row r="157" spans="1:26" ht="15.5">
      <c r="A157" s="1"/>
      <c r="B157" s="1"/>
      <c r="C157" s="1"/>
      <c r="D157" s="1"/>
      <c r="E157" s="1"/>
      <c r="F157" s="1"/>
      <c r="G157" s="1"/>
      <c r="H157" s="49"/>
      <c r="I157" s="49"/>
      <c r="J157" s="49"/>
      <c r="K157" s="49"/>
      <c r="L157" s="49"/>
      <c r="M157" s="49"/>
      <c r="N157" s="49"/>
      <c r="O157" s="49"/>
      <c r="P157" s="49"/>
      <c r="Q157" s="49"/>
      <c r="R157" s="49"/>
      <c r="S157" s="49"/>
      <c r="T157" s="49"/>
      <c r="U157" s="49"/>
      <c r="V157" s="49"/>
      <c r="W157" s="49"/>
      <c r="X157" s="49"/>
      <c r="Y157" s="49"/>
      <c r="Z157" s="49"/>
    </row>
    <row r="158" spans="1:26" ht="15.5">
      <c r="A158" s="1"/>
      <c r="B158" s="1"/>
      <c r="C158" s="1"/>
      <c r="D158" s="1"/>
      <c r="E158" s="1"/>
      <c r="F158" s="1"/>
      <c r="G158" s="1"/>
      <c r="H158" s="49"/>
      <c r="I158" s="49"/>
      <c r="J158" s="49"/>
      <c r="K158" s="49"/>
      <c r="L158" s="49"/>
      <c r="M158" s="49"/>
      <c r="N158" s="49"/>
      <c r="O158" s="49"/>
      <c r="P158" s="49"/>
      <c r="Q158" s="49"/>
      <c r="R158" s="49"/>
      <c r="S158" s="49"/>
      <c r="T158" s="49"/>
      <c r="U158" s="49"/>
      <c r="V158" s="49"/>
      <c r="W158" s="49"/>
      <c r="X158" s="49"/>
      <c r="Y158" s="49"/>
      <c r="Z158" s="49"/>
    </row>
    <row r="159" spans="1:26" ht="15.5">
      <c r="A159" s="1"/>
      <c r="B159" s="1"/>
      <c r="C159" s="1"/>
      <c r="D159" s="1"/>
      <c r="E159" s="1"/>
      <c r="F159" s="1"/>
      <c r="G159" s="1"/>
      <c r="H159" s="49"/>
      <c r="I159" s="49"/>
      <c r="J159" s="49"/>
      <c r="K159" s="49"/>
      <c r="L159" s="49"/>
      <c r="M159" s="49"/>
      <c r="N159" s="49"/>
      <c r="O159" s="49"/>
      <c r="P159" s="49"/>
      <c r="Q159" s="49"/>
      <c r="R159" s="49"/>
      <c r="S159" s="49"/>
      <c r="T159" s="49"/>
      <c r="U159" s="49"/>
      <c r="V159" s="49"/>
      <c r="W159" s="49"/>
      <c r="X159" s="49"/>
      <c r="Y159" s="49"/>
      <c r="Z159" s="49"/>
    </row>
    <row r="160" spans="1:26" ht="15.5">
      <c r="A160" s="1"/>
      <c r="B160" s="1"/>
      <c r="C160" s="1"/>
      <c r="D160" s="1"/>
      <c r="E160" s="1"/>
      <c r="F160" s="1"/>
      <c r="G160" s="1"/>
      <c r="H160" s="49"/>
      <c r="I160" s="49"/>
      <c r="J160" s="49"/>
      <c r="K160" s="49"/>
      <c r="L160" s="49"/>
      <c r="M160" s="49"/>
      <c r="N160" s="49"/>
      <c r="O160" s="49"/>
      <c r="P160" s="49"/>
      <c r="Q160" s="49"/>
      <c r="R160" s="49"/>
      <c r="S160" s="49"/>
      <c r="T160" s="49"/>
      <c r="U160" s="49"/>
      <c r="V160" s="49"/>
      <c r="W160" s="49"/>
      <c r="X160" s="49"/>
      <c r="Y160" s="49"/>
      <c r="Z160" s="49"/>
    </row>
    <row r="161" spans="1:26" ht="15.5">
      <c r="A161" s="1"/>
      <c r="B161" s="1"/>
      <c r="C161" s="1"/>
      <c r="D161" s="1"/>
      <c r="E161" s="1"/>
      <c r="F161" s="1"/>
      <c r="G161" s="1"/>
      <c r="H161" s="49"/>
      <c r="I161" s="49"/>
      <c r="J161" s="49"/>
      <c r="K161" s="49"/>
      <c r="L161" s="49"/>
      <c r="M161" s="49"/>
      <c r="N161" s="49"/>
      <c r="O161" s="49"/>
      <c r="P161" s="49"/>
      <c r="Q161" s="49"/>
      <c r="R161" s="49"/>
      <c r="S161" s="49"/>
      <c r="T161" s="49"/>
      <c r="U161" s="49"/>
      <c r="V161" s="49"/>
      <c r="W161" s="49"/>
      <c r="X161" s="49"/>
      <c r="Y161" s="49"/>
      <c r="Z161" s="49"/>
    </row>
    <row r="162" spans="1:26" ht="15.5">
      <c r="A162" s="1"/>
      <c r="B162" s="1"/>
      <c r="C162" s="1"/>
      <c r="D162" s="1"/>
      <c r="E162" s="1"/>
      <c r="F162" s="1"/>
      <c r="G162" s="1"/>
      <c r="H162" s="49"/>
      <c r="I162" s="49"/>
      <c r="J162" s="49"/>
      <c r="K162" s="49"/>
      <c r="L162" s="49"/>
      <c r="M162" s="49"/>
      <c r="N162" s="49"/>
      <c r="O162" s="49"/>
      <c r="P162" s="49"/>
      <c r="Q162" s="49"/>
      <c r="R162" s="49"/>
      <c r="S162" s="49"/>
      <c r="T162" s="49"/>
      <c r="U162" s="49"/>
      <c r="V162" s="49"/>
      <c r="W162" s="49"/>
      <c r="X162" s="49"/>
      <c r="Y162" s="49"/>
      <c r="Z162" s="49"/>
    </row>
    <row r="163" spans="1:26" ht="15.5">
      <c r="A163" s="1"/>
      <c r="B163" s="1"/>
      <c r="C163" s="1"/>
      <c r="D163" s="1"/>
      <c r="E163" s="1"/>
      <c r="F163" s="1"/>
      <c r="G163" s="1"/>
      <c r="H163" s="49"/>
      <c r="I163" s="49"/>
      <c r="J163" s="49"/>
      <c r="K163" s="49"/>
      <c r="L163" s="49"/>
      <c r="M163" s="49"/>
      <c r="N163" s="49"/>
      <c r="O163" s="49"/>
      <c r="P163" s="49"/>
      <c r="Q163" s="49"/>
      <c r="R163" s="49"/>
      <c r="S163" s="49"/>
      <c r="T163" s="49"/>
      <c r="U163" s="49"/>
      <c r="V163" s="49"/>
      <c r="W163" s="49"/>
      <c r="X163" s="49"/>
      <c r="Y163" s="49"/>
      <c r="Z163" s="49"/>
    </row>
    <row r="164" spans="1:26" ht="15.5">
      <c r="A164" s="1"/>
      <c r="B164" s="1"/>
      <c r="C164" s="1"/>
      <c r="D164" s="1"/>
      <c r="E164" s="1"/>
      <c r="F164" s="1"/>
      <c r="G164" s="1"/>
      <c r="H164" s="49"/>
      <c r="I164" s="49"/>
      <c r="J164" s="49"/>
      <c r="K164" s="49"/>
      <c r="L164" s="49"/>
      <c r="M164" s="49"/>
      <c r="N164" s="49"/>
      <c r="O164" s="49"/>
      <c r="P164" s="49"/>
      <c r="Q164" s="49"/>
      <c r="R164" s="49"/>
      <c r="S164" s="49"/>
      <c r="T164" s="49"/>
      <c r="U164" s="49"/>
      <c r="V164" s="49"/>
      <c r="W164" s="49"/>
      <c r="X164" s="49"/>
      <c r="Y164" s="49"/>
      <c r="Z164" s="49"/>
    </row>
    <row r="165" spans="1:26" ht="15.5">
      <c r="A165" s="1"/>
      <c r="B165" s="1"/>
      <c r="C165" s="1"/>
      <c r="D165" s="1"/>
      <c r="E165" s="1"/>
      <c r="F165" s="1"/>
      <c r="G165" s="1"/>
      <c r="H165" s="49"/>
      <c r="I165" s="49"/>
      <c r="J165" s="49"/>
      <c r="K165" s="49"/>
      <c r="L165" s="49"/>
      <c r="M165" s="49"/>
      <c r="N165" s="49"/>
      <c r="O165" s="49"/>
      <c r="P165" s="49"/>
      <c r="Q165" s="49"/>
      <c r="R165" s="49"/>
      <c r="S165" s="49"/>
      <c r="T165" s="49"/>
      <c r="U165" s="49"/>
      <c r="V165" s="49"/>
      <c r="W165" s="49"/>
      <c r="X165" s="49"/>
      <c r="Y165" s="49"/>
      <c r="Z165" s="49"/>
    </row>
    <row r="166" spans="1:26" ht="15.5">
      <c r="A166" s="1"/>
      <c r="B166" s="1"/>
      <c r="C166" s="1"/>
      <c r="D166" s="1"/>
      <c r="E166" s="1"/>
      <c r="F166" s="1"/>
      <c r="G166" s="1"/>
      <c r="H166" s="49"/>
      <c r="I166" s="49"/>
      <c r="J166" s="49"/>
      <c r="K166" s="49"/>
      <c r="L166" s="49"/>
      <c r="M166" s="49"/>
      <c r="N166" s="49"/>
      <c r="O166" s="49"/>
      <c r="P166" s="49"/>
      <c r="Q166" s="49"/>
      <c r="R166" s="49"/>
      <c r="S166" s="49"/>
      <c r="T166" s="49"/>
      <c r="U166" s="49"/>
      <c r="V166" s="49"/>
      <c r="W166" s="49"/>
      <c r="X166" s="49"/>
      <c r="Y166" s="49"/>
      <c r="Z166" s="49"/>
    </row>
    <row r="167" spans="1:26" ht="15.5">
      <c r="A167" s="1"/>
      <c r="B167" s="1"/>
      <c r="C167" s="1"/>
      <c r="D167" s="1"/>
      <c r="E167" s="1"/>
      <c r="F167" s="1"/>
      <c r="G167" s="1"/>
      <c r="H167" s="49"/>
      <c r="I167" s="49"/>
      <c r="J167" s="49"/>
      <c r="K167" s="49"/>
      <c r="L167" s="49"/>
      <c r="M167" s="49"/>
      <c r="N167" s="49"/>
      <c r="O167" s="49"/>
      <c r="P167" s="49"/>
      <c r="Q167" s="49"/>
      <c r="R167" s="49"/>
      <c r="S167" s="49"/>
      <c r="T167" s="49"/>
      <c r="U167" s="49"/>
      <c r="V167" s="49"/>
      <c r="W167" s="49"/>
      <c r="X167" s="49"/>
      <c r="Y167" s="49"/>
      <c r="Z167" s="49"/>
    </row>
    <row r="168" spans="1:26" ht="15.5">
      <c r="A168" s="1"/>
      <c r="B168" s="1"/>
      <c r="C168" s="1"/>
      <c r="D168" s="1"/>
      <c r="E168" s="1"/>
      <c r="F168" s="1"/>
      <c r="G168" s="1"/>
      <c r="H168" s="49"/>
      <c r="I168" s="49"/>
      <c r="J168" s="49"/>
      <c r="K168" s="49"/>
      <c r="L168" s="49"/>
      <c r="M168" s="49"/>
      <c r="N168" s="49"/>
      <c r="O168" s="49"/>
      <c r="P168" s="49"/>
      <c r="Q168" s="49"/>
      <c r="R168" s="49"/>
      <c r="S168" s="49"/>
      <c r="T168" s="49"/>
      <c r="U168" s="49"/>
      <c r="V168" s="49"/>
      <c r="W168" s="49"/>
      <c r="X168" s="49"/>
      <c r="Y168" s="49"/>
      <c r="Z168" s="49"/>
    </row>
    <row r="169" spans="1:26" ht="15.5">
      <c r="A169" s="1"/>
      <c r="B169" s="1"/>
      <c r="C169" s="1"/>
      <c r="D169" s="1"/>
      <c r="E169" s="1"/>
      <c r="F169" s="1"/>
      <c r="G169" s="1"/>
      <c r="H169" s="49"/>
      <c r="I169" s="49"/>
      <c r="J169" s="49"/>
      <c r="K169" s="49"/>
      <c r="L169" s="49"/>
      <c r="M169" s="49"/>
      <c r="N169" s="49"/>
      <c r="O169" s="49"/>
      <c r="P169" s="49"/>
      <c r="Q169" s="49"/>
      <c r="R169" s="49"/>
      <c r="S169" s="49"/>
      <c r="T169" s="49"/>
      <c r="U169" s="49"/>
      <c r="V169" s="49"/>
      <c r="W169" s="49"/>
      <c r="X169" s="49"/>
      <c r="Y169" s="49"/>
      <c r="Z169" s="49"/>
    </row>
    <row r="170" spans="1:26" ht="15.5">
      <c r="A170" s="1"/>
      <c r="B170" s="1"/>
      <c r="C170" s="1"/>
      <c r="D170" s="1"/>
      <c r="E170" s="1"/>
      <c r="F170" s="1"/>
      <c r="G170" s="1"/>
      <c r="H170" s="49"/>
      <c r="I170" s="49"/>
      <c r="J170" s="49"/>
      <c r="K170" s="49"/>
      <c r="L170" s="49"/>
      <c r="M170" s="49"/>
      <c r="N170" s="49"/>
      <c r="O170" s="49"/>
      <c r="P170" s="49"/>
      <c r="Q170" s="49"/>
      <c r="R170" s="49"/>
      <c r="S170" s="49"/>
      <c r="T170" s="49"/>
      <c r="U170" s="49"/>
      <c r="V170" s="49"/>
      <c r="W170" s="49"/>
      <c r="X170" s="49"/>
      <c r="Y170" s="49"/>
      <c r="Z170" s="49"/>
    </row>
    <row r="171" spans="1:26" ht="15.5">
      <c r="A171" s="1"/>
      <c r="B171" s="1"/>
      <c r="C171" s="1"/>
      <c r="D171" s="1"/>
      <c r="E171" s="1"/>
      <c r="F171" s="1"/>
      <c r="G171" s="1"/>
      <c r="H171" s="49"/>
      <c r="I171" s="49"/>
      <c r="J171" s="49"/>
      <c r="K171" s="49"/>
      <c r="L171" s="49"/>
      <c r="M171" s="49"/>
      <c r="N171" s="49"/>
      <c r="O171" s="49"/>
      <c r="P171" s="49"/>
      <c r="Q171" s="49"/>
      <c r="R171" s="49"/>
      <c r="S171" s="49"/>
      <c r="T171" s="49"/>
      <c r="U171" s="49"/>
      <c r="V171" s="49"/>
      <c r="W171" s="49"/>
      <c r="X171" s="49"/>
      <c r="Y171" s="49"/>
      <c r="Z171" s="49"/>
    </row>
    <row r="172" spans="1:26" ht="15.5">
      <c r="A172" s="1"/>
      <c r="B172" s="1"/>
      <c r="C172" s="1"/>
      <c r="D172" s="1"/>
      <c r="E172" s="1"/>
      <c r="F172" s="1"/>
      <c r="G172" s="1"/>
      <c r="H172" s="49"/>
      <c r="I172" s="49"/>
      <c r="J172" s="49"/>
      <c r="K172" s="49"/>
      <c r="L172" s="49"/>
      <c r="M172" s="49"/>
      <c r="N172" s="49"/>
      <c r="O172" s="49"/>
      <c r="P172" s="49"/>
      <c r="Q172" s="49"/>
      <c r="R172" s="49"/>
      <c r="S172" s="49"/>
      <c r="T172" s="49"/>
      <c r="U172" s="49"/>
      <c r="V172" s="49"/>
      <c r="W172" s="49"/>
      <c r="X172" s="49"/>
      <c r="Y172" s="49"/>
      <c r="Z172" s="49"/>
    </row>
    <row r="173" spans="1:26" ht="15.5">
      <c r="A173" s="1"/>
      <c r="B173" s="1"/>
      <c r="C173" s="1"/>
      <c r="D173" s="1"/>
      <c r="E173" s="1"/>
      <c r="F173" s="1"/>
      <c r="G173" s="1"/>
      <c r="H173" s="49"/>
      <c r="I173" s="49"/>
      <c r="J173" s="49"/>
      <c r="K173" s="49"/>
      <c r="L173" s="49"/>
      <c r="M173" s="49"/>
      <c r="N173" s="49"/>
      <c r="O173" s="49"/>
      <c r="P173" s="49"/>
      <c r="Q173" s="49"/>
      <c r="R173" s="49"/>
      <c r="S173" s="49"/>
      <c r="T173" s="49"/>
      <c r="U173" s="49"/>
      <c r="V173" s="49"/>
      <c r="W173" s="49"/>
      <c r="X173" s="49"/>
      <c r="Y173" s="49"/>
      <c r="Z173" s="49"/>
    </row>
    <row r="174" spans="1:26" ht="15.5">
      <c r="A174" s="1"/>
      <c r="B174" s="1"/>
      <c r="C174" s="1"/>
      <c r="D174" s="1"/>
      <c r="E174" s="1"/>
      <c r="F174" s="1"/>
      <c r="G174" s="1"/>
      <c r="H174" s="49"/>
      <c r="I174" s="49"/>
      <c r="J174" s="49"/>
      <c r="K174" s="49"/>
      <c r="L174" s="49"/>
      <c r="M174" s="49"/>
      <c r="N174" s="49"/>
      <c r="O174" s="49"/>
      <c r="P174" s="49"/>
      <c r="Q174" s="49"/>
      <c r="R174" s="49"/>
      <c r="S174" s="49"/>
      <c r="T174" s="49"/>
      <c r="U174" s="49"/>
      <c r="V174" s="49"/>
      <c r="W174" s="49"/>
      <c r="X174" s="49"/>
      <c r="Y174" s="49"/>
      <c r="Z174" s="49"/>
    </row>
    <row r="175" spans="1:26" ht="15.5">
      <c r="A175" s="1"/>
      <c r="B175" s="1"/>
      <c r="C175" s="1"/>
      <c r="D175" s="1"/>
      <c r="E175" s="1"/>
      <c r="F175" s="1"/>
      <c r="G175" s="1"/>
      <c r="H175" s="49"/>
      <c r="I175" s="49"/>
      <c r="J175" s="49"/>
      <c r="K175" s="49"/>
      <c r="L175" s="49"/>
      <c r="M175" s="49"/>
      <c r="N175" s="49"/>
      <c r="O175" s="49"/>
      <c r="P175" s="49"/>
      <c r="Q175" s="49"/>
      <c r="R175" s="49"/>
      <c r="S175" s="49"/>
      <c r="T175" s="49"/>
      <c r="U175" s="49"/>
      <c r="V175" s="49"/>
      <c r="W175" s="49"/>
      <c r="X175" s="49"/>
      <c r="Y175" s="49"/>
      <c r="Z175" s="49"/>
    </row>
    <row r="176" spans="1:26" ht="15.5">
      <c r="A176" s="1"/>
      <c r="B176" s="1"/>
      <c r="C176" s="1"/>
      <c r="D176" s="1"/>
      <c r="E176" s="1"/>
      <c r="F176" s="1"/>
      <c r="G176" s="1"/>
      <c r="H176" s="49"/>
      <c r="I176" s="49"/>
      <c r="J176" s="49"/>
      <c r="K176" s="49"/>
      <c r="L176" s="49"/>
      <c r="M176" s="49"/>
      <c r="N176" s="49"/>
      <c r="O176" s="49"/>
      <c r="P176" s="49"/>
      <c r="Q176" s="49"/>
      <c r="R176" s="49"/>
      <c r="S176" s="49"/>
      <c r="T176" s="49"/>
      <c r="U176" s="49"/>
      <c r="V176" s="49"/>
      <c r="W176" s="49"/>
      <c r="X176" s="49"/>
      <c r="Y176" s="49"/>
      <c r="Z176" s="49"/>
    </row>
    <row r="177" spans="1:26" ht="15.5">
      <c r="A177" s="1"/>
      <c r="B177" s="1"/>
      <c r="C177" s="1"/>
      <c r="D177" s="1"/>
      <c r="E177" s="1"/>
      <c r="F177" s="1"/>
      <c r="G177" s="1"/>
      <c r="H177" s="49"/>
      <c r="I177" s="49"/>
      <c r="J177" s="49"/>
      <c r="K177" s="49"/>
      <c r="L177" s="49"/>
      <c r="M177" s="49"/>
      <c r="N177" s="49"/>
      <c r="O177" s="49"/>
      <c r="P177" s="49"/>
      <c r="Q177" s="49"/>
      <c r="R177" s="49"/>
      <c r="S177" s="49"/>
      <c r="T177" s="49"/>
      <c r="U177" s="49"/>
      <c r="V177" s="49"/>
      <c r="W177" s="49"/>
      <c r="X177" s="49"/>
      <c r="Y177" s="49"/>
      <c r="Z177" s="49"/>
    </row>
    <row r="178" spans="1:26" ht="15.5">
      <c r="A178" s="1"/>
      <c r="B178" s="1"/>
      <c r="C178" s="1"/>
      <c r="D178" s="1"/>
      <c r="E178" s="1"/>
      <c r="F178" s="1"/>
      <c r="G178" s="1"/>
      <c r="H178" s="49"/>
      <c r="I178" s="49"/>
      <c r="J178" s="49"/>
      <c r="K178" s="49"/>
      <c r="L178" s="49"/>
      <c r="M178" s="49"/>
      <c r="N178" s="49"/>
      <c r="O178" s="49"/>
      <c r="P178" s="49"/>
      <c r="Q178" s="49"/>
      <c r="R178" s="49"/>
      <c r="S178" s="49"/>
      <c r="T178" s="49"/>
      <c r="U178" s="49"/>
      <c r="V178" s="49"/>
      <c r="W178" s="49"/>
      <c r="X178" s="49"/>
      <c r="Y178" s="49"/>
      <c r="Z178" s="49"/>
    </row>
    <row r="179" spans="1:26" ht="15.5">
      <c r="A179" s="1"/>
      <c r="B179" s="1"/>
      <c r="C179" s="1"/>
      <c r="D179" s="1"/>
      <c r="E179" s="1"/>
      <c r="F179" s="1"/>
      <c r="G179" s="1"/>
      <c r="H179" s="49"/>
      <c r="I179" s="49"/>
      <c r="J179" s="49"/>
      <c r="K179" s="49"/>
      <c r="L179" s="49"/>
      <c r="M179" s="49"/>
      <c r="N179" s="49"/>
      <c r="O179" s="49"/>
      <c r="P179" s="49"/>
      <c r="Q179" s="49"/>
      <c r="R179" s="49"/>
      <c r="S179" s="49"/>
      <c r="T179" s="49"/>
      <c r="U179" s="49"/>
      <c r="V179" s="49"/>
      <c r="W179" s="49"/>
      <c r="X179" s="49"/>
      <c r="Y179" s="49"/>
      <c r="Z179" s="49"/>
    </row>
    <row r="180" spans="1:26" ht="15.5">
      <c r="A180" s="1"/>
      <c r="B180" s="1"/>
      <c r="C180" s="1"/>
      <c r="D180" s="1"/>
      <c r="E180" s="1"/>
      <c r="F180" s="1"/>
      <c r="G180" s="1"/>
      <c r="H180" s="49"/>
      <c r="I180" s="49"/>
      <c r="J180" s="49"/>
      <c r="K180" s="49"/>
      <c r="L180" s="49"/>
      <c r="M180" s="49"/>
      <c r="N180" s="49"/>
      <c r="O180" s="49"/>
      <c r="P180" s="49"/>
      <c r="Q180" s="49"/>
      <c r="R180" s="49"/>
      <c r="S180" s="49"/>
      <c r="T180" s="49"/>
      <c r="U180" s="49"/>
      <c r="V180" s="49"/>
      <c r="W180" s="49"/>
      <c r="X180" s="49"/>
      <c r="Y180" s="49"/>
      <c r="Z180" s="49"/>
    </row>
    <row r="181" spans="1:26" ht="15.5">
      <c r="A181" s="1"/>
      <c r="B181" s="1"/>
      <c r="C181" s="1"/>
      <c r="D181" s="1"/>
      <c r="E181" s="1"/>
      <c r="F181" s="1"/>
      <c r="G181" s="1"/>
      <c r="H181" s="49"/>
      <c r="I181" s="49"/>
      <c r="J181" s="49"/>
      <c r="K181" s="49"/>
      <c r="L181" s="49"/>
      <c r="M181" s="49"/>
      <c r="N181" s="49"/>
      <c r="O181" s="49"/>
      <c r="P181" s="49"/>
      <c r="Q181" s="49"/>
      <c r="R181" s="49"/>
      <c r="S181" s="49"/>
      <c r="T181" s="49"/>
      <c r="U181" s="49"/>
      <c r="V181" s="49"/>
      <c r="W181" s="49"/>
      <c r="X181" s="49"/>
      <c r="Y181" s="49"/>
      <c r="Z181" s="49"/>
    </row>
    <row r="182" spans="1:26" ht="15.5">
      <c r="A182" s="1"/>
      <c r="B182" s="1"/>
      <c r="C182" s="1"/>
      <c r="D182" s="1"/>
      <c r="E182" s="1"/>
      <c r="F182" s="1"/>
      <c r="G182" s="1"/>
      <c r="H182" s="49"/>
      <c r="I182" s="49"/>
      <c r="J182" s="49"/>
      <c r="K182" s="49"/>
      <c r="L182" s="49"/>
      <c r="M182" s="49"/>
      <c r="N182" s="49"/>
      <c r="O182" s="49"/>
      <c r="P182" s="49"/>
      <c r="Q182" s="49"/>
      <c r="R182" s="49"/>
      <c r="S182" s="49"/>
      <c r="T182" s="49"/>
      <c r="U182" s="49"/>
      <c r="V182" s="49"/>
      <c r="W182" s="49"/>
      <c r="X182" s="49"/>
      <c r="Y182" s="49"/>
      <c r="Z182" s="49"/>
    </row>
    <row r="183" spans="1:26" ht="15.5">
      <c r="A183" s="1"/>
      <c r="B183" s="1"/>
      <c r="C183" s="1"/>
      <c r="D183" s="1"/>
      <c r="E183" s="1"/>
      <c r="F183" s="1"/>
      <c r="G183" s="1"/>
      <c r="H183" s="49"/>
      <c r="I183" s="49"/>
      <c r="J183" s="49"/>
      <c r="K183" s="49"/>
      <c r="L183" s="49"/>
      <c r="M183" s="49"/>
      <c r="N183" s="49"/>
      <c r="O183" s="49"/>
      <c r="P183" s="49"/>
      <c r="Q183" s="49"/>
      <c r="R183" s="49"/>
      <c r="S183" s="49"/>
      <c r="T183" s="49"/>
      <c r="U183" s="49"/>
      <c r="V183" s="49"/>
      <c r="W183" s="49"/>
      <c r="X183" s="49"/>
      <c r="Y183" s="49"/>
      <c r="Z183" s="49"/>
    </row>
    <row r="184" spans="1:26" ht="15.5">
      <c r="A184" s="1"/>
      <c r="B184" s="1"/>
      <c r="C184" s="1"/>
      <c r="D184" s="1"/>
      <c r="E184" s="1"/>
      <c r="F184" s="1"/>
      <c r="G184" s="1"/>
      <c r="H184" s="49"/>
      <c r="I184" s="49"/>
      <c r="J184" s="49"/>
      <c r="K184" s="49"/>
      <c r="L184" s="49"/>
      <c r="M184" s="49"/>
      <c r="N184" s="49"/>
      <c r="O184" s="49"/>
      <c r="P184" s="49"/>
      <c r="Q184" s="49"/>
      <c r="R184" s="49"/>
      <c r="S184" s="49"/>
      <c r="T184" s="49"/>
      <c r="U184" s="49"/>
      <c r="V184" s="49"/>
      <c r="W184" s="49"/>
      <c r="X184" s="49"/>
      <c r="Y184" s="49"/>
      <c r="Z184" s="49"/>
    </row>
    <row r="185" spans="1:26" ht="15.5">
      <c r="A185" s="1"/>
      <c r="B185" s="1"/>
      <c r="C185" s="1"/>
      <c r="D185" s="1"/>
      <c r="E185" s="1"/>
      <c r="F185" s="1"/>
      <c r="G185" s="1"/>
      <c r="H185" s="49"/>
      <c r="I185" s="49"/>
      <c r="J185" s="49"/>
      <c r="K185" s="49"/>
      <c r="L185" s="49"/>
      <c r="M185" s="49"/>
      <c r="N185" s="49"/>
      <c r="O185" s="49"/>
      <c r="P185" s="49"/>
      <c r="Q185" s="49"/>
      <c r="R185" s="49"/>
      <c r="S185" s="49"/>
      <c r="T185" s="49"/>
      <c r="U185" s="49"/>
      <c r="V185" s="49"/>
      <c r="W185" s="49"/>
      <c r="X185" s="49"/>
      <c r="Y185" s="49"/>
      <c r="Z185" s="49"/>
    </row>
    <row r="186" spans="1:26" ht="15.5">
      <c r="A186" s="1"/>
      <c r="B186" s="1"/>
      <c r="C186" s="1"/>
      <c r="D186" s="1"/>
      <c r="E186" s="1"/>
      <c r="F186" s="1"/>
      <c r="G186" s="1"/>
      <c r="H186" s="49"/>
      <c r="I186" s="49"/>
      <c r="J186" s="49"/>
      <c r="K186" s="49"/>
      <c r="L186" s="49"/>
      <c r="M186" s="49"/>
      <c r="N186" s="49"/>
      <c r="O186" s="49"/>
      <c r="P186" s="49"/>
      <c r="Q186" s="49"/>
      <c r="R186" s="49"/>
      <c r="S186" s="49"/>
      <c r="T186" s="49"/>
      <c r="U186" s="49"/>
      <c r="V186" s="49"/>
      <c r="W186" s="49"/>
      <c r="X186" s="49"/>
      <c r="Y186" s="49"/>
      <c r="Z186" s="49"/>
    </row>
    <row r="187" spans="1:26" ht="15.5">
      <c r="A187" s="1"/>
      <c r="B187" s="1"/>
      <c r="C187" s="1"/>
      <c r="D187" s="1"/>
      <c r="E187" s="1"/>
      <c r="F187" s="1"/>
      <c r="G187" s="1"/>
      <c r="H187" s="49"/>
      <c r="I187" s="49"/>
      <c r="J187" s="49"/>
      <c r="K187" s="49"/>
      <c r="L187" s="49"/>
      <c r="M187" s="49"/>
      <c r="N187" s="49"/>
      <c r="O187" s="49"/>
      <c r="P187" s="49"/>
      <c r="Q187" s="49"/>
      <c r="R187" s="49"/>
      <c r="S187" s="49"/>
      <c r="T187" s="49"/>
      <c r="U187" s="49"/>
      <c r="V187" s="49"/>
      <c r="W187" s="49"/>
      <c r="X187" s="49"/>
      <c r="Y187" s="49"/>
      <c r="Z187" s="49"/>
    </row>
    <row r="188" spans="1:26" ht="15.5">
      <c r="A188" s="1"/>
      <c r="B188" s="1"/>
      <c r="C188" s="1"/>
      <c r="D188" s="1"/>
      <c r="E188" s="1"/>
      <c r="F188" s="1"/>
      <c r="G188" s="1"/>
      <c r="H188" s="49"/>
      <c r="I188" s="49"/>
      <c r="J188" s="49"/>
      <c r="K188" s="49"/>
      <c r="L188" s="49"/>
      <c r="M188" s="49"/>
      <c r="N188" s="49"/>
      <c r="O188" s="49"/>
      <c r="P188" s="49"/>
      <c r="Q188" s="49"/>
      <c r="R188" s="49"/>
      <c r="S188" s="49"/>
      <c r="T188" s="49"/>
      <c r="U188" s="49"/>
      <c r="V188" s="49"/>
      <c r="W188" s="49"/>
      <c r="X188" s="49"/>
      <c r="Y188" s="49"/>
      <c r="Z188" s="49"/>
    </row>
    <row r="189" spans="1:26" ht="15.5">
      <c r="A189" s="1"/>
      <c r="B189" s="1"/>
      <c r="C189" s="1"/>
      <c r="D189" s="1"/>
      <c r="E189" s="1"/>
      <c r="F189" s="1"/>
      <c r="G189" s="1"/>
      <c r="H189" s="49"/>
      <c r="I189" s="49"/>
      <c r="J189" s="49"/>
      <c r="K189" s="49"/>
      <c r="L189" s="49"/>
      <c r="M189" s="49"/>
      <c r="N189" s="49"/>
      <c r="O189" s="49"/>
      <c r="P189" s="49"/>
      <c r="Q189" s="49"/>
      <c r="R189" s="49"/>
      <c r="S189" s="49"/>
      <c r="T189" s="49"/>
      <c r="U189" s="49"/>
      <c r="V189" s="49"/>
      <c r="W189" s="49"/>
      <c r="X189" s="49"/>
      <c r="Y189" s="49"/>
      <c r="Z189" s="49"/>
    </row>
    <row r="190" spans="1:26" ht="15.5">
      <c r="A190" s="1"/>
      <c r="B190" s="1"/>
      <c r="C190" s="1"/>
      <c r="D190" s="1"/>
      <c r="E190" s="1"/>
      <c r="F190" s="1"/>
      <c r="G190" s="1"/>
      <c r="H190" s="49"/>
      <c r="I190" s="49"/>
      <c r="J190" s="49"/>
      <c r="K190" s="49"/>
      <c r="L190" s="49"/>
      <c r="M190" s="49"/>
      <c r="N190" s="49"/>
      <c r="O190" s="49"/>
      <c r="P190" s="49"/>
      <c r="Q190" s="49"/>
      <c r="R190" s="49"/>
      <c r="S190" s="49"/>
      <c r="T190" s="49"/>
      <c r="U190" s="49"/>
      <c r="V190" s="49"/>
      <c r="W190" s="49"/>
      <c r="X190" s="49"/>
      <c r="Y190" s="49"/>
      <c r="Z190" s="49"/>
    </row>
    <row r="191" spans="1:26" ht="15.5">
      <c r="A191" s="1"/>
      <c r="B191" s="1"/>
      <c r="C191" s="1"/>
      <c r="D191" s="1"/>
      <c r="E191" s="1"/>
      <c r="F191" s="1"/>
      <c r="G191" s="1"/>
      <c r="H191" s="49"/>
      <c r="I191" s="49"/>
      <c r="J191" s="49"/>
      <c r="K191" s="49"/>
      <c r="L191" s="49"/>
      <c r="M191" s="49"/>
      <c r="N191" s="49"/>
      <c r="O191" s="49"/>
      <c r="P191" s="49"/>
      <c r="Q191" s="49"/>
      <c r="R191" s="49"/>
      <c r="S191" s="49"/>
      <c r="T191" s="49"/>
      <c r="U191" s="49"/>
      <c r="V191" s="49"/>
      <c r="W191" s="49"/>
      <c r="X191" s="49"/>
      <c r="Y191" s="49"/>
      <c r="Z191" s="49"/>
    </row>
    <row r="192" spans="1:26" ht="15.5">
      <c r="A192" s="1"/>
      <c r="B192" s="1"/>
      <c r="C192" s="1"/>
      <c r="D192" s="1"/>
      <c r="E192" s="1"/>
      <c r="F192" s="1"/>
      <c r="G192" s="1"/>
      <c r="H192" s="49"/>
      <c r="I192" s="49"/>
      <c r="J192" s="49"/>
      <c r="K192" s="49"/>
      <c r="L192" s="49"/>
      <c r="M192" s="49"/>
      <c r="N192" s="49"/>
      <c r="O192" s="49"/>
      <c r="P192" s="49"/>
      <c r="Q192" s="49"/>
      <c r="R192" s="49"/>
      <c r="S192" s="49"/>
      <c r="T192" s="49"/>
      <c r="U192" s="49"/>
      <c r="V192" s="49"/>
      <c r="W192" s="49"/>
      <c r="X192" s="49"/>
      <c r="Y192" s="49"/>
      <c r="Z192" s="49"/>
    </row>
    <row r="193" spans="1:26" ht="15.5">
      <c r="A193" s="1"/>
      <c r="B193" s="1"/>
      <c r="C193" s="1"/>
      <c r="D193" s="1"/>
      <c r="E193" s="1"/>
      <c r="F193" s="1"/>
      <c r="G193" s="1"/>
      <c r="H193" s="49"/>
      <c r="I193" s="49"/>
      <c r="J193" s="49"/>
      <c r="K193" s="49"/>
      <c r="L193" s="49"/>
      <c r="M193" s="49"/>
      <c r="N193" s="49"/>
      <c r="O193" s="49"/>
      <c r="P193" s="49"/>
      <c r="Q193" s="49"/>
      <c r="R193" s="49"/>
      <c r="S193" s="49"/>
      <c r="T193" s="49"/>
      <c r="U193" s="49"/>
      <c r="V193" s="49"/>
      <c r="W193" s="49"/>
      <c r="X193" s="49"/>
      <c r="Y193" s="49"/>
      <c r="Z193" s="49"/>
    </row>
    <row r="194" spans="1:26" ht="15.5">
      <c r="A194" s="1"/>
      <c r="B194" s="1"/>
      <c r="C194" s="1"/>
      <c r="D194" s="1"/>
      <c r="E194" s="1"/>
      <c r="F194" s="1"/>
      <c r="G194" s="1"/>
      <c r="H194" s="49"/>
      <c r="I194" s="49"/>
      <c r="J194" s="49"/>
      <c r="K194" s="49"/>
      <c r="L194" s="49"/>
      <c r="M194" s="49"/>
      <c r="N194" s="49"/>
      <c r="O194" s="49"/>
      <c r="P194" s="49"/>
      <c r="Q194" s="49"/>
      <c r="R194" s="49"/>
      <c r="S194" s="49"/>
      <c r="T194" s="49"/>
      <c r="U194" s="49"/>
      <c r="V194" s="49"/>
      <c r="W194" s="49"/>
      <c r="X194" s="49"/>
      <c r="Y194" s="49"/>
      <c r="Z194" s="49"/>
    </row>
    <row r="195" spans="1:26" ht="15.5">
      <c r="A195" s="1"/>
      <c r="B195" s="1"/>
      <c r="C195" s="1"/>
      <c r="D195" s="1"/>
      <c r="E195" s="1"/>
      <c r="F195" s="1"/>
      <c r="G195" s="1"/>
      <c r="H195" s="49"/>
      <c r="I195" s="49"/>
      <c r="J195" s="49"/>
      <c r="K195" s="49"/>
      <c r="L195" s="49"/>
      <c r="M195" s="49"/>
      <c r="N195" s="49"/>
      <c r="O195" s="49"/>
      <c r="P195" s="49"/>
      <c r="Q195" s="49"/>
      <c r="R195" s="49"/>
      <c r="S195" s="49"/>
      <c r="T195" s="49"/>
      <c r="U195" s="49"/>
      <c r="V195" s="49"/>
      <c r="W195" s="49"/>
      <c r="X195" s="49"/>
      <c r="Y195" s="49"/>
      <c r="Z195" s="49"/>
    </row>
    <row r="196" spans="1:26" ht="15.5">
      <c r="A196" s="1"/>
      <c r="B196" s="1"/>
      <c r="C196" s="1"/>
      <c r="D196" s="1"/>
      <c r="E196" s="1"/>
      <c r="F196" s="1"/>
      <c r="G196" s="1"/>
      <c r="H196" s="49"/>
      <c r="I196" s="49"/>
      <c r="J196" s="49"/>
      <c r="K196" s="49"/>
      <c r="L196" s="49"/>
      <c r="M196" s="49"/>
      <c r="N196" s="49"/>
      <c r="O196" s="49"/>
      <c r="P196" s="49"/>
      <c r="Q196" s="49"/>
      <c r="R196" s="49"/>
      <c r="S196" s="49"/>
      <c r="T196" s="49"/>
      <c r="U196" s="49"/>
      <c r="V196" s="49"/>
      <c r="W196" s="49"/>
      <c r="X196" s="49"/>
      <c r="Y196" s="49"/>
      <c r="Z196" s="49"/>
    </row>
    <row r="197" spans="1:26" ht="15.5">
      <c r="A197" s="1"/>
      <c r="B197" s="1"/>
      <c r="C197" s="1"/>
      <c r="D197" s="1"/>
      <c r="E197" s="1"/>
      <c r="F197" s="1"/>
      <c r="G197" s="1"/>
      <c r="H197" s="49"/>
      <c r="I197" s="49"/>
      <c r="J197" s="49"/>
      <c r="K197" s="49"/>
      <c r="L197" s="49"/>
      <c r="M197" s="49"/>
      <c r="N197" s="49"/>
      <c r="O197" s="49"/>
      <c r="P197" s="49"/>
      <c r="Q197" s="49"/>
      <c r="R197" s="49"/>
      <c r="S197" s="49"/>
      <c r="T197" s="49"/>
      <c r="U197" s="49"/>
      <c r="V197" s="49"/>
      <c r="W197" s="49"/>
      <c r="X197" s="49"/>
      <c r="Y197" s="49"/>
      <c r="Z197" s="49"/>
    </row>
    <row r="198" spans="1:26" ht="15.5">
      <c r="A198" s="1"/>
      <c r="B198" s="1"/>
      <c r="C198" s="1"/>
      <c r="D198" s="1"/>
      <c r="E198" s="1"/>
      <c r="F198" s="1"/>
      <c r="G198" s="1"/>
      <c r="H198" s="49"/>
      <c r="I198" s="49"/>
      <c r="J198" s="49"/>
      <c r="K198" s="49"/>
      <c r="L198" s="49"/>
      <c r="M198" s="49"/>
      <c r="N198" s="49"/>
      <c r="O198" s="49"/>
      <c r="P198" s="49"/>
      <c r="Q198" s="49"/>
      <c r="R198" s="49"/>
      <c r="S198" s="49"/>
      <c r="T198" s="49"/>
      <c r="U198" s="49"/>
      <c r="V198" s="49"/>
      <c r="W198" s="49"/>
      <c r="X198" s="49"/>
      <c r="Y198" s="49"/>
      <c r="Z198" s="49"/>
    </row>
    <row r="199" spans="1:26" ht="15.5">
      <c r="A199" s="1"/>
      <c r="B199" s="1"/>
      <c r="C199" s="1"/>
      <c r="D199" s="1"/>
      <c r="E199" s="1"/>
      <c r="F199" s="1"/>
      <c r="G199" s="1"/>
      <c r="H199" s="49"/>
      <c r="I199" s="49"/>
      <c r="J199" s="49"/>
      <c r="K199" s="49"/>
      <c r="L199" s="49"/>
      <c r="M199" s="49"/>
      <c r="N199" s="49"/>
      <c r="O199" s="49"/>
      <c r="P199" s="49"/>
      <c r="Q199" s="49"/>
      <c r="R199" s="49"/>
      <c r="S199" s="49"/>
      <c r="T199" s="49"/>
      <c r="U199" s="49"/>
      <c r="V199" s="49"/>
      <c r="W199" s="49"/>
      <c r="X199" s="49"/>
      <c r="Y199" s="49"/>
      <c r="Z199" s="49"/>
    </row>
    <row r="200" spans="1:26" ht="15.5">
      <c r="A200" s="1"/>
      <c r="B200" s="1"/>
      <c r="C200" s="1"/>
      <c r="D200" s="1"/>
      <c r="E200" s="1"/>
      <c r="F200" s="1"/>
      <c r="G200" s="1"/>
      <c r="H200" s="49"/>
      <c r="I200" s="49"/>
      <c r="J200" s="49"/>
      <c r="K200" s="49"/>
      <c r="L200" s="49"/>
      <c r="M200" s="49"/>
      <c r="N200" s="49"/>
      <c r="O200" s="49"/>
      <c r="P200" s="49"/>
      <c r="Q200" s="49"/>
      <c r="R200" s="49"/>
      <c r="S200" s="49"/>
      <c r="T200" s="49"/>
      <c r="U200" s="49"/>
      <c r="V200" s="49"/>
      <c r="W200" s="49"/>
      <c r="X200" s="49"/>
      <c r="Y200" s="49"/>
      <c r="Z200" s="49"/>
    </row>
    <row r="201" spans="1:26" ht="15.5">
      <c r="A201" s="1"/>
      <c r="B201" s="1"/>
      <c r="C201" s="1"/>
      <c r="D201" s="1"/>
      <c r="E201" s="1"/>
      <c r="F201" s="1"/>
      <c r="G201" s="1"/>
      <c r="H201" s="49"/>
      <c r="I201" s="49"/>
      <c r="J201" s="49"/>
      <c r="K201" s="49"/>
      <c r="L201" s="49"/>
      <c r="M201" s="49"/>
      <c r="N201" s="49"/>
      <c r="O201" s="49"/>
      <c r="P201" s="49"/>
      <c r="Q201" s="49"/>
      <c r="R201" s="49"/>
      <c r="S201" s="49"/>
      <c r="T201" s="49"/>
      <c r="U201" s="49"/>
      <c r="V201" s="49"/>
      <c r="W201" s="49"/>
      <c r="X201" s="49"/>
      <c r="Y201" s="49"/>
      <c r="Z201" s="49"/>
    </row>
    <row r="202" spans="1:26" ht="15.5">
      <c r="A202" s="1"/>
      <c r="B202" s="1"/>
      <c r="C202" s="1"/>
      <c r="D202" s="1"/>
      <c r="E202" s="1"/>
      <c r="F202" s="1"/>
      <c r="G202" s="1"/>
      <c r="H202" s="49"/>
      <c r="I202" s="49"/>
      <c r="J202" s="49"/>
      <c r="K202" s="49"/>
      <c r="L202" s="49"/>
      <c r="M202" s="49"/>
      <c r="N202" s="49"/>
      <c r="O202" s="49"/>
      <c r="P202" s="49"/>
      <c r="Q202" s="49"/>
      <c r="R202" s="49"/>
      <c r="S202" s="49"/>
      <c r="T202" s="49"/>
      <c r="U202" s="49"/>
      <c r="V202" s="49"/>
      <c r="W202" s="49"/>
      <c r="X202" s="49"/>
      <c r="Y202" s="49"/>
      <c r="Z202" s="49"/>
    </row>
    <row r="203" spans="1:26" ht="15.5">
      <c r="A203" s="1"/>
      <c r="B203" s="1"/>
      <c r="C203" s="1"/>
      <c r="D203" s="1"/>
      <c r="E203" s="1"/>
      <c r="F203" s="1"/>
      <c r="G203" s="1"/>
      <c r="H203" s="49"/>
      <c r="I203" s="49"/>
      <c r="J203" s="49"/>
      <c r="K203" s="49"/>
      <c r="L203" s="49"/>
      <c r="M203" s="49"/>
      <c r="N203" s="49"/>
      <c r="O203" s="49"/>
      <c r="P203" s="49"/>
      <c r="Q203" s="49"/>
      <c r="R203" s="49"/>
      <c r="S203" s="49"/>
      <c r="T203" s="49"/>
      <c r="U203" s="49"/>
      <c r="V203" s="49"/>
      <c r="W203" s="49"/>
      <c r="X203" s="49"/>
      <c r="Y203" s="49"/>
      <c r="Z203" s="49"/>
    </row>
    <row r="204" spans="1:26" ht="15.5">
      <c r="A204" s="1"/>
      <c r="B204" s="1"/>
      <c r="C204" s="1"/>
      <c r="D204" s="1"/>
      <c r="E204" s="1"/>
      <c r="F204" s="1"/>
      <c r="G204" s="1"/>
      <c r="H204" s="49"/>
      <c r="I204" s="49"/>
      <c r="J204" s="49"/>
      <c r="K204" s="49"/>
      <c r="L204" s="49"/>
      <c r="M204" s="49"/>
      <c r="N204" s="49"/>
      <c r="O204" s="49"/>
      <c r="P204" s="49"/>
      <c r="Q204" s="49"/>
      <c r="R204" s="49"/>
      <c r="S204" s="49"/>
      <c r="T204" s="49"/>
      <c r="U204" s="49"/>
      <c r="V204" s="49"/>
      <c r="W204" s="49"/>
      <c r="X204" s="49"/>
      <c r="Y204" s="49"/>
      <c r="Z204" s="49"/>
    </row>
    <row r="205" spans="1:26" ht="15.5">
      <c r="A205" s="1"/>
      <c r="B205" s="1"/>
      <c r="C205" s="1"/>
      <c r="D205" s="1"/>
      <c r="E205" s="1"/>
      <c r="F205" s="1"/>
      <c r="G205" s="1"/>
      <c r="H205" s="49"/>
      <c r="I205" s="49"/>
      <c r="J205" s="49"/>
      <c r="K205" s="49"/>
      <c r="L205" s="49"/>
      <c r="M205" s="49"/>
      <c r="N205" s="49"/>
      <c r="O205" s="49"/>
      <c r="P205" s="49"/>
      <c r="Q205" s="49"/>
      <c r="R205" s="49"/>
      <c r="S205" s="49"/>
      <c r="T205" s="49"/>
      <c r="U205" s="49"/>
      <c r="V205" s="49"/>
      <c r="W205" s="49"/>
      <c r="X205" s="49"/>
      <c r="Y205" s="49"/>
      <c r="Z205" s="49"/>
    </row>
    <row r="206" spans="1:26" ht="15.5">
      <c r="A206" s="1"/>
      <c r="B206" s="1"/>
      <c r="C206" s="1"/>
      <c r="D206" s="1"/>
      <c r="E206" s="1"/>
      <c r="F206" s="1"/>
      <c r="G206" s="1"/>
      <c r="H206" s="49"/>
      <c r="I206" s="49"/>
      <c r="J206" s="49"/>
      <c r="K206" s="49"/>
      <c r="L206" s="49"/>
      <c r="M206" s="49"/>
      <c r="N206" s="49"/>
      <c r="O206" s="49"/>
      <c r="P206" s="49"/>
      <c r="Q206" s="49"/>
      <c r="R206" s="49"/>
      <c r="S206" s="49"/>
      <c r="T206" s="49"/>
      <c r="U206" s="49"/>
      <c r="V206" s="49"/>
      <c r="W206" s="49"/>
      <c r="X206" s="49"/>
      <c r="Y206" s="49"/>
      <c r="Z206" s="49"/>
    </row>
    <row r="207" spans="1:26" ht="15.5">
      <c r="A207" s="1"/>
      <c r="B207" s="1"/>
      <c r="C207" s="1"/>
      <c r="D207" s="1"/>
      <c r="E207" s="1"/>
      <c r="F207" s="1"/>
      <c r="G207" s="1"/>
      <c r="H207" s="49"/>
      <c r="I207" s="49"/>
      <c r="J207" s="49"/>
      <c r="K207" s="49"/>
      <c r="L207" s="49"/>
      <c r="M207" s="49"/>
      <c r="N207" s="49"/>
      <c r="O207" s="49"/>
      <c r="P207" s="49"/>
      <c r="Q207" s="49"/>
      <c r="R207" s="49"/>
      <c r="S207" s="49"/>
      <c r="T207" s="49"/>
      <c r="U207" s="49"/>
      <c r="V207" s="49"/>
      <c r="W207" s="49"/>
      <c r="X207" s="49"/>
      <c r="Y207" s="49"/>
      <c r="Z207" s="49"/>
    </row>
    <row r="208" spans="1:26" ht="15.5">
      <c r="A208" s="1"/>
      <c r="B208" s="1"/>
      <c r="C208" s="1"/>
      <c r="D208" s="1"/>
      <c r="E208" s="1"/>
      <c r="F208" s="1"/>
      <c r="G208" s="1"/>
      <c r="H208" s="49"/>
      <c r="I208" s="49"/>
      <c r="J208" s="49"/>
      <c r="K208" s="49"/>
      <c r="L208" s="49"/>
      <c r="M208" s="49"/>
      <c r="N208" s="49"/>
      <c r="O208" s="49"/>
      <c r="P208" s="49"/>
      <c r="Q208" s="49"/>
      <c r="R208" s="49"/>
      <c r="S208" s="49"/>
      <c r="T208" s="49"/>
      <c r="U208" s="49"/>
      <c r="V208" s="49"/>
      <c r="W208" s="49"/>
      <c r="X208" s="49"/>
      <c r="Y208" s="49"/>
      <c r="Z208" s="49"/>
    </row>
    <row r="209" spans="1:26" ht="15.5">
      <c r="A209" s="1"/>
      <c r="B209" s="1"/>
      <c r="C209" s="1"/>
      <c r="D209" s="1"/>
      <c r="E209" s="1"/>
      <c r="F209" s="1"/>
      <c r="G209" s="1"/>
      <c r="H209" s="49"/>
      <c r="I209" s="49"/>
      <c r="J209" s="49"/>
      <c r="K209" s="49"/>
      <c r="L209" s="49"/>
      <c r="M209" s="49"/>
      <c r="N209" s="49"/>
      <c r="O209" s="49"/>
      <c r="P209" s="49"/>
      <c r="Q209" s="49"/>
      <c r="R209" s="49"/>
      <c r="S209" s="49"/>
      <c r="T209" s="49"/>
      <c r="U209" s="49"/>
      <c r="V209" s="49"/>
      <c r="W209" s="49"/>
      <c r="X209" s="49"/>
      <c r="Y209" s="49"/>
      <c r="Z209" s="49"/>
    </row>
    <row r="210" spans="1:26" ht="15.5">
      <c r="A210" s="1"/>
      <c r="B210" s="1"/>
      <c r="C210" s="1"/>
      <c r="D210" s="1"/>
      <c r="E210" s="1"/>
      <c r="F210" s="1"/>
      <c r="G210" s="1"/>
      <c r="H210" s="49"/>
      <c r="I210" s="49"/>
      <c r="J210" s="49"/>
      <c r="K210" s="49"/>
      <c r="L210" s="49"/>
      <c r="M210" s="49"/>
      <c r="N210" s="49"/>
      <c r="O210" s="49"/>
      <c r="P210" s="49"/>
      <c r="Q210" s="49"/>
      <c r="R210" s="49"/>
      <c r="S210" s="49"/>
      <c r="T210" s="49"/>
      <c r="U210" s="49"/>
      <c r="V210" s="49"/>
      <c r="W210" s="49"/>
      <c r="X210" s="49"/>
      <c r="Y210" s="49"/>
      <c r="Z210" s="49"/>
    </row>
    <row r="211" spans="1:26" ht="15.5">
      <c r="A211" s="1"/>
      <c r="B211" s="1"/>
      <c r="C211" s="1"/>
      <c r="D211" s="1"/>
      <c r="E211" s="1"/>
      <c r="F211" s="1"/>
      <c r="G211" s="1"/>
      <c r="H211" s="49"/>
      <c r="I211" s="49"/>
      <c r="J211" s="49"/>
      <c r="K211" s="49"/>
      <c r="L211" s="49"/>
      <c r="M211" s="49"/>
      <c r="N211" s="49"/>
      <c r="O211" s="49"/>
      <c r="P211" s="49"/>
      <c r="Q211" s="49"/>
      <c r="R211" s="49"/>
      <c r="S211" s="49"/>
      <c r="T211" s="49"/>
      <c r="U211" s="49"/>
      <c r="V211" s="49"/>
      <c r="W211" s="49"/>
      <c r="X211" s="49"/>
      <c r="Y211" s="49"/>
      <c r="Z211" s="49"/>
    </row>
    <row r="212" spans="1:26" ht="15.5">
      <c r="A212" s="1"/>
      <c r="B212" s="1"/>
      <c r="C212" s="1"/>
      <c r="D212" s="1"/>
      <c r="E212" s="1"/>
      <c r="F212" s="1"/>
      <c r="G212" s="1"/>
      <c r="H212" s="49"/>
      <c r="I212" s="49"/>
      <c r="J212" s="49"/>
      <c r="K212" s="49"/>
      <c r="L212" s="49"/>
      <c r="M212" s="49"/>
      <c r="N212" s="49"/>
      <c r="O212" s="49"/>
      <c r="P212" s="49"/>
      <c r="Q212" s="49"/>
      <c r="R212" s="49"/>
      <c r="S212" s="49"/>
      <c r="T212" s="49"/>
      <c r="U212" s="49"/>
      <c r="V212" s="49"/>
      <c r="W212" s="49"/>
      <c r="X212" s="49"/>
      <c r="Y212" s="49"/>
      <c r="Z212" s="49"/>
    </row>
    <row r="213" spans="1:26" ht="15.5">
      <c r="A213" s="1"/>
      <c r="B213" s="1"/>
      <c r="C213" s="1"/>
      <c r="D213" s="1"/>
      <c r="E213" s="1"/>
      <c r="F213" s="1"/>
      <c r="G213" s="1"/>
      <c r="H213" s="49"/>
      <c r="I213" s="49"/>
      <c r="J213" s="49"/>
      <c r="K213" s="49"/>
      <c r="L213" s="49"/>
      <c r="M213" s="49"/>
      <c r="N213" s="49"/>
      <c r="O213" s="49"/>
      <c r="P213" s="49"/>
      <c r="Q213" s="49"/>
      <c r="R213" s="49"/>
      <c r="S213" s="49"/>
      <c r="T213" s="49"/>
      <c r="U213" s="49"/>
      <c r="V213" s="49"/>
      <c r="W213" s="49"/>
      <c r="X213" s="49"/>
      <c r="Y213" s="49"/>
      <c r="Z213" s="49"/>
    </row>
    <row r="214" spans="1:26" ht="15.5">
      <c r="A214" s="1"/>
      <c r="B214" s="1"/>
      <c r="C214" s="1"/>
      <c r="D214" s="1"/>
      <c r="E214" s="1"/>
      <c r="F214" s="1"/>
      <c r="G214" s="1"/>
      <c r="H214" s="49"/>
      <c r="I214" s="49"/>
      <c r="J214" s="49"/>
      <c r="K214" s="49"/>
      <c r="L214" s="49"/>
      <c r="M214" s="49"/>
      <c r="N214" s="49"/>
      <c r="O214" s="49"/>
      <c r="P214" s="49"/>
      <c r="Q214" s="49"/>
      <c r="R214" s="49"/>
      <c r="S214" s="49"/>
      <c r="T214" s="49"/>
      <c r="U214" s="49"/>
      <c r="V214" s="49"/>
      <c r="W214" s="49"/>
      <c r="X214" s="49"/>
      <c r="Y214" s="49"/>
      <c r="Z214" s="49"/>
    </row>
    <row r="215" spans="1:26" ht="15.5">
      <c r="A215" s="1"/>
      <c r="B215" s="1"/>
      <c r="C215" s="1"/>
      <c r="D215" s="1"/>
      <c r="E215" s="1"/>
      <c r="F215" s="1"/>
      <c r="G215" s="1"/>
      <c r="H215" s="49"/>
      <c r="I215" s="49"/>
      <c r="J215" s="49"/>
      <c r="K215" s="49"/>
      <c r="L215" s="49"/>
      <c r="M215" s="49"/>
      <c r="N215" s="49"/>
      <c r="O215" s="49"/>
      <c r="P215" s="49"/>
      <c r="Q215" s="49"/>
      <c r="R215" s="49"/>
      <c r="S215" s="49"/>
      <c r="T215" s="49"/>
      <c r="U215" s="49"/>
      <c r="V215" s="49"/>
      <c r="W215" s="49"/>
      <c r="X215" s="49"/>
      <c r="Y215" s="49"/>
      <c r="Z215" s="49"/>
    </row>
    <row r="216" spans="1:26" ht="15.5">
      <c r="A216" s="1"/>
      <c r="B216" s="1"/>
      <c r="C216" s="1"/>
      <c r="D216" s="1"/>
      <c r="E216" s="1"/>
      <c r="F216" s="1"/>
      <c r="G216" s="1"/>
      <c r="H216" s="49"/>
      <c r="I216" s="49"/>
      <c r="J216" s="49"/>
      <c r="K216" s="49"/>
      <c r="L216" s="49"/>
      <c r="M216" s="49"/>
      <c r="N216" s="49"/>
      <c r="O216" s="49"/>
      <c r="P216" s="49"/>
      <c r="Q216" s="49"/>
      <c r="R216" s="49"/>
      <c r="S216" s="49"/>
      <c r="T216" s="49"/>
      <c r="U216" s="49"/>
      <c r="V216" s="49"/>
      <c r="W216" s="49"/>
      <c r="X216" s="49"/>
      <c r="Y216" s="49"/>
      <c r="Z216" s="49"/>
    </row>
    <row r="217" spans="1:26" ht="15.5">
      <c r="A217" s="1"/>
      <c r="B217" s="1"/>
      <c r="C217" s="1"/>
      <c r="D217" s="1"/>
      <c r="E217" s="1"/>
      <c r="F217" s="1"/>
      <c r="G217" s="1"/>
      <c r="H217" s="49"/>
      <c r="I217" s="49"/>
      <c r="J217" s="49"/>
      <c r="K217" s="49"/>
      <c r="L217" s="49"/>
      <c r="M217" s="49"/>
      <c r="N217" s="49"/>
      <c r="O217" s="49"/>
      <c r="P217" s="49"/>
      <c r="Q217" s="49"/>
      <c r="R217" s="49"/>
      <c r="S217" s="49"/>
      <c r="T217" s="49"/>
      <c r="U217" s="49"/>
      <c r="V217" s="49"/>
      <c r="W217" s="49"/>
      <c r="X217" s="49"/>
      <c r="Y217" s="49"/>
      <c r="Z217" s="49"/>
    </row>
    <row r="218" spans="1:26" ht="15.5">
      <c r="A218" s="1"/>
      <c r="B218" s="1"/>
      <c r="C218" s="1"/>
      <c r="D218" s="1"/>
      <c r="E218" s="1"/>
      <c r="F218" s="1"/>
      <c r="G218" s="1"/>
      <c r="H218" s="49"/>
      <c r="I218" s="49"/>
      <c r="J218" s="49"/>
      <c r="K218" s="49"/>
      <c r="L218" s="49"/>
      <c r="M218" s="49"/>
      <c r="N218" s="49"/>
      <c r="O218" s="49"/>
      <c r="P218" s="49"/>
      <c r="Q218" s="49"/>
      <c r="R218" s="49"/>
      <c r="S218" s="49"/>
      <c r="T218" s="49"/>
      <c r="U218" s="49"/>
      <c r="V218" s="49"/>
      <c r="W218" s="49"/>
      <c r="X218" s="49"/>
      <c r="Y218" s="49"/>
      <c r="Z218" s="49"/>
    </row>
    <row r="219" spans="1:26" ht="15.5">
      <c r="A219" s="1"/>
      <c r="B219" s="1"/>
      <c r="C219" s="1"/>
      <c r="D219" s="1"/>
      <c r="E219" s="1"/>
      <c r="F219" s="1"/>
      <c r="G219" s="1"/>
      <c r="H219" s="49"/>
      <c r="I219" s="49"/>
      <c r="J219" s="49"/>
      <c r="K219" s="49"/>
      <c r="L219" s="49"/>
      <c r="M219" s="49"/>
      <c r="N219" s="49"/>
      <c r="O219" s="49"/>
      <c r="P219" s="49"/>
      <c r="Q219" s="49"/>
      <c r="R219" s="49"/>
      <c r="S219" s="49"/>
      <c r="T219" s="49"/>
      <c r="U219" s="49"/>
      <c r="V219" s="49"/>
      <c r="W219" s="49"/>
      <c r="X219" s="49"/>
      <c r="Y219" s="49"/>
      <c r="Z219" s="49"/>
    </row>
    <row r="220" spans="1:26" ht="15.5">
      <c r="A220" s="1"/>
      <c r="B220" s="1"/>
      <c r="C220" s="1"/>
      <c r="D220" s="1"/>
      <c r="E220" s="1"/>
      <c r="F220" s="1"/>
      <c r="G220" s="1"/>
      <c r="H220" s="49"/>
      <c r="I220" s="49"/>
      <c r="J220" s="49"/>
      <c r="K220" s="49"/>
      <c r="L220" s="49"/>
      <c r="M220" s="49"/>
      <c r="N220" s="49"/>
      <c r="O220" s="49"/>
      <c r="P220" s="49"/>
      <c r="Q220" s="49"/>
      <c r="R220" s="49"/>
      <c r="S220" s="49"/>
      <c r="T220" s="49"/>
      <c r="U220" s="49"/>
      <c r="V220" s="49"/>
      <c r="W220" s="49"/>
      <c r="X220" s="49"/>
      <c r="Y220" s="49"/>
      <c r="Z220" s="49"/>
    </row>
    <row r="221" spans="1:26" ht="15.5">
      <c r="A221" s="1"/>
      <c r="B221" s="1"/>
      <c r="C221" s="1"/>
      <c r="D221" s="1"/>
      <c r="E221" s="1"/>
      <c r="F221" s="1"/>
      <c r="G221" s="1"/>
      <c r="H221" s="49"/>
      <c r="I221" s="49"/>
      <c r="J221" s="49"/>
      <c r="K221" s="49"/>
      <c r="L221" s="49"/>
      <c r="M221" s="49"/>
      <c r="N221" s="49"/>
      <c r="O221" s="49"/>
      <c r="P221" s="49"/>
      <c r="Q221" s="49"/>
      <c r="R221" s="49"/>
      <c r="S221" s="49"/>
      <c r="T221" s="49"/>
      <c r="U221" s="49"/>
      <c r="V221" s="49"/>
      <c r="W221" s="49"/>
      <c r="X221" s="49"/>
      <c r="Y221" s="49"/>
      <c r="Z221" s="49"/>
    </row>
    <row r="222" spans="1:26" ht="15.5">
      <c r="A222" s="1"/>
      <c r="B222" s="1"/>
      <c r="C222" s="1"/>
      <c r="D222" s="1"/>
      <c r="E222" s="1"/>
      <c r="F222" s="1"/>
      <c r="G222" s="1"/>
      <c r="H222" s="49"/>
      <c r="I222" s="49"/>
      <c r="J222" s="49"/>
      <c r="K222" s="49"/>
      <c r="L222" s="49"/>
      <c r="M222" s="49"/>
      <c r="N222" s="49"/>
      <c r="O222" s="49"/>
      <c r="P222" s="49"/>
      <c r="Q222" s="49"/>
      <c r="R222" s="49"/>
      <c r="S222" s="49"/>
      <c r="T222" s="49"/>
      <c r="U222" s="49"/>
      <c r="V222" s="49"/>
      <c r="W222" s="49"/>
      <c r="X222" s="49"/>
      <c r="Y222" s="49"/>
      <c r="Z222" s="49"/>
    </row>
    <row r="223" spans="1:26" ht="15.5">
      <c r="A223" s="1"/>
      <c r="B223" s="1"/>
      <c r="C223" s="1"/>
      <c r="D223" s="1"/>
      <c r="E223" s="1"/>
      <c r="F223" s="1"/>
      <c r="G223" s="1"/>
      <c r="H223" s="49"/>
      <c r="I223" s="49"/>
      <c r="J223" s="49"/>
      <c r="K223" s="49"/>
      <c r="L223" s="49"/>
      <c r="M223" s="49"/>
      <c r="N223" s="49"/>
      <c r="O223" s="49"/>
      <c r="P223" s="49"/>
      <c r="Q223" s="49"/>
      <c r="R223" s="49"/>
      <c r="S223" s="49"/>
      <c r="T223" s="49"/>
      <c r="U223" s="49"/>
      <c r="V223" s="49"/>
      <c r="W223" s="49"/>
      <c r="X223" s="49"/>
      <c r="Y223" s="49"/>
      <c r="Z223" s="49"/>
    </row>
    <row r="224" spans="1:26" ht="15.5">
      <c r="A224" s="1"/>
      <c r="B224" s="1"/>
      <c r="C224" s="1"/>
      <c r="D224" s="1"/>
      <c r="E224" s="1"/>
      <c r="F224" s="1"/>
      <c r="G224" s="1"/>
      <c r="H224" s="49"/>
      <c r="I224" s="49"/>
      <c r="J224" s="49"/>
      <c r="K224" s="49"/>
      <c r="L224" s="49"/>
      <c r="M224" s="49"/>
      <c r="N224" s="49"/>
      <c r="O224" s="49"/>
      <c r="P224" s="49"/>
      <c r="Q224" s="49"/>
      <c r="R224" s="49"/>
      <c r="S224" s="49"/>
      <c r="T224" s="49"/>
      <c r="U224" s="49"/>
      <c r="V224" s="49"/>
      <c r="W224" s="49"/>
      <c r="X224" s="49"/>
      <c r="Y224" s="49"/>
      <c r="Z224" s="49"/>
    </row>
    <row r="225" spans="1:26" ht="15.5">
      <c r="A225" s="1"/>
      <c r="B225" s="1"/>
      <c r="C225" s="1"/>
      <c r="D225" s="1"/>
      <c r="E225" s="1"/>
      <c r="F225" s="1"/>
      <c r="G225" s="1"/>
      <c r="H225" s="49"/>
      <c r="I225" s="49"/>
      <c r="J225" s="49"/>
      <c r="K225" s="49"/>
      <c r="L225" s="49"/>
      <c r="M225" s="49"/>
      <c r="N225" s="49"/>
      <c r="O225" s="49"/>
      <c r="P225" s="49"/>
      <c r="Q225" s="49"/>
      <c r="R225" s="49"/>
      <c r="S225" s="49"/>
      <c r="T225" s="49"/>
      <c r="U225" s="49"/>
      <c r="V225" s="49"/>
      <c r="W225" s="49"/>
      <c r="X225" s="49"/>
      <c r="Y225" s="49"/>
      <c r="Z225" s="49"/>
    </row>
    <row r="226" spans="1:26" ht="15.5">
      <c r="A226" s="1"/>
      <c r="B226" s="1"/>
      <c r="C226" s="1"/>
      <c r="D226" s="1"/>
      <c r="E226" s="1"/>
      <c r="F226" s="1"/>
      <c r="G226" s="1"/>
      <c r="H226" s="49"/>
      <c r="I226" s="49"/>
      <c r="J226" s="49"/>
      <c r="K226" s="49"/>
      <c r="L226" s="49"/>
      <c r="M226" s="49"/>
      <c r="N226" s="49"/>
      <c r="O226" s="49"/>
      <c r="P226" s="49"/>
      <c r="Q226" s="49"/>
      <c r="R226" s="49"/>
      <c r="S226" s="49"/>
      <c r="T226" s="49"/>
      <c r="U226" s="49"/>
      <c r="V226" s="49"/>
      <c r="W226" s="49"/>
      <c r="X226" s="49"/>
      <c r="Y226" s="49"/>
      <c r="Z226" s="49"/>
    </row>
    <row r="227" spans="1:26" ht="15.5">
      <c r="A227" s="1"/>
      <c r="B227" s="1"/>
      <c r="C227" s="1"/>
      <c r="D227" s="1"/>
      <c r="E227" s="1"/>
      <c r="F227" s="1"/>
      <c r="G227" s="1"/>
      <c r="H227" s="49"/>
      <c r="I227" s="49"/>
      <c r="J227" s="49"/>
      <c r="K227" s="49"/>
      <c r="L227" s="49"/>
      <c r="M227" s="49"/>
      <c r="N227" s="49"/>
      <c r="O227" s="49"/>
      <c r="P227" s="49"/>
      <c r="Q227" s="49"/>
      <c r="R227" s="49"/>
      <c r="S227" s="49"/>
      <c r="T227" s="49"/>
      <c r="U227" s="49"/>
      <c r="V227" s="49"/>
      <c r="W227" s="49"/>
      <c r="X227" s="49"/>
      <c r="Y227" s="49"/>
      <c r="Z227" s="49"/>
    </row>
    <row r="228" spans="1:26" ht="15.5">
      <c r="A228" s="1"/>
      <c r="B228" s="1"/>
      <c r="C228" s="1"/>
      <c r="D228" s="1"/>
      <c r="E228" s="1"/>
      <c r="F228" s="1"/>
      <c r="G228" s="1"/>
      <c r="H228" s="49"/>
      <c r="I228" s="49"/>
      <c r="J228" s="49"/>
      <c r="K228" s="49"/>
      <c r="L228" s="49"/>
      <c r="M228" s="49"/>
      <c r="N228" s="49"/>
      <c r="O228" s="49"/>
      <c r="P228" s="49"/>
      <c r="Q228" s="49"/>
      <c r="R228" s="49"/>
      <c r="S228" s="49"/>
      <c r="T228" s="49"/>
      <c r="U228" s="49"/>
      <c r="V228" s="49"/>
      <c r="W228" s="49"/>
      <c r="X228" s="49"/>
      <c r="Y228" s="49"/>
      <c r="Z228" s="49"/>
    </row>
    <row r="229" spans="1:26" ht="15.5">
      <c r="A229" s="1"/>
      <c r="B229" s="1"/>
      <c r="C229" s="1"/>
      <c r="D229" s="1"/>
      <c r="E229" s="1"/>
      <c r="F229" s="1"/>
      <c r="G229" s="1"/>
      <c r="H229" s="49"/>
      <c r="I229" s="49"/>
      <c r="J229" s="49"/>
      <c r="K229" s="49"/>
      <c r="L229" s="49"/>
      <c r="M229" s="49"/>
      <c r="N229" s="49"/>
      <c r="O229" s="49"/>
      <c r="P229" s="49"/>
      <c r="Q229" s="49"/>
      <c r="R229" s="49"/>
      <c r="S229" s="49"/>
      <c r="T229" s="49"/>
      <c r="U229" s="49"/>
      <c r="V229" s="49"/>
      <c r="W229" s="49"/>
      <c r="X229" s="49"/>
      <c r="Y229" s="49"/>
      <c r="Z229" s="49"/>
    </row>
    <row r="230" spans="1:26" ht="15.5">
      <c r="A230" s="1"/>
      <c r="B230" s="1"/>
      <c r="C230" s="1"/>
      <c r="D230" s="1"/>
      <c r="E230" s="1"/>
      <c r="F230" s="1"/>
      <c r="G230" s="1"/>
      <c r="H230" s="49"/>
      <c r="I230" s="49"/>
      <c r="J230" s="49"/>
      <c r="K230" s="49"/>
      <c r="L230" s="49"/>
      <c r="M230" s="49"/>
      <c r="N230" s="49"/>
      <c r="O230" s="49"/>
      <c r="P230" s="49"/>
      <c r="Q230" s="49"/>
      <c r="R230" s="49"/>
      <c r="S230" s="49"/>
      <c r="T230" s="49"/>
      <c r="U230" s="49"/>
      <c r="V230" s="49"/>
      <c r="W230" s="49"/>
      <c r="X230" s="49"/>
      <c r="Y230" s="49"/>
      <c r="Z230" s="49"/>
    </row>
    <row r="231" spans="1:26" ht="15.5">
      <c r="A231" s="1"/>
      <c r="B231" s="1"/>
      <c r="C231" s="1"/>
      <c r="D231" s="1"/>
      <c r="E231" s="1"/>
      <c r="F231" s="1"/>
      <c r="G231" s="1"/>
      <c r="H231" s="49"/>
      <c r="I231" s="49"/>
      <c r="J231" s="49"/>
      <c r="K231" s="49"/>
      <c r="L231" s="49"/>
      <c r="M231" s="49"/>
      <c r="N231" s="49"/>
      <c r="O231" s="49"/>
      <c r="P231" s="49"/>
      <c r="Q231" s="49"/>
      <c r="R231" s="49"/>
      <c r="S231" s="49"/>
      <c r="T231" s="49"/>
      <c r="U231" s="49"/>
      <c r="V231" s="49"/>
      <c r="W231" s="49"/>
      <c r="X231" s="49"/>
      <c r="Y231" s="49"/>
      <c r="Z231" s="49"/>
    </row>
    <row r="232" spans="1:26" ht="15.5">
      <c r="A232" s="1"/>
      <c r="B232" s="1"/>
      <c r="C232" s="1"/>
      <c r="D232" s="1"/>
      <c r="E232" s="1"/>
      <c r="F232" s="1"/>
      <c r="G232" s="1"/>
      <c r="H232" s="49"/>
      <c r="I232" s="49"/>
      <c r="J232" s="49"/>
      <c r="K232" s="49"/>
      <c r="L232" s="49"/>
      <c r="M232" s="49"/>
      <c r="N232" s="49"/>
      <c r="O232" s="49"/>
      <c r="P232" s="49"/>
      <c r="Q232" s="49"/>
      <c r="R232" s="49"/>
      <c r="S232" s="49"/>
      <c r="T232" s="49"/>
      <c r="U232" s="49"/>
      <c r="V232" s="49"/>
      <c r="W232" s="49"/>
      <c r="X232" s="49"/>
      <c r="Y232" s="49"/>
      <c r="Z232" s="49"/>
    </row>
    <row r="233" spans="1:26" ht="15.5">
      <c r="A233" s="1"/>
      <c r="B233" s="1"/>
      <c r="C233" s="1"/>
      <c r="D233" s="1"/>
      <c r="E233" s="1"/>
      <c r="F233" s="1"/>
      <c r="G233" s="1"/>
      <c r="H233" s="49"/>
      <c r="I233" s="49"/>
      <c r="J233" s="49"/>
      <c r="K233" s="49"/>
      <c r="L233" s="49"/>
      <c r="M233" s="49"/>
      <c r="N233" s="49"/>
      <c r="O233" s="49"/>
      <c r="P233" s="49"/>
      <c r="Q233" s="49"/>
      <c r="R233" s="49"/>
      <c r="S233" s="49"/>
      <c r="T233" s="49"/>
      <c r="U233" s="49"/>
      <c r="V233" s="49"/>
      <c r="W233" s="49"/>
      <c r="X233" s="49"/>
      <c r="Y233" s="49"/>
      <c r="Z233" s="49"/>
    </row>
    <row r="234" spans="1:26" ht="15.5">
      <c r="A234" s="1"/>
      <c r="B234" s="1"/>
      <c r="C234" s="1"/>
      <c r="D234" s="1"/>
      <c r="E234" s="1"/>
      <c r="F234" s="1"/>
      <c r="G234" s="1"/>
      <c r="H234" s="49"/>
      <c r="I234" s="49"/>
      <c r="J234" s="49"/>
      <c r="K234" s="49"/>
      <c r="L234" s="49"/>
      <c r="M234" s="49"/>
      <c r="N234" s="49"/>
      <c r="O234" s="49"/>
      <c r="P234" s="49"/>
      <c r="Q234" s="49"/>
      <c r="R234" s="49"/>
      <c r="S234" s="49"/>
      <c r="T234" s="49"/>
      <c r="U234" s="49"/>
      <c r="V234" s="49"/>
      <c r="W234" s="49"/>
      <c r="X234" s="49"/>
      <c r="Y234" s="49"/>
      <c r="Z234" s="49"/>
    </row>
    <row r="235" spans="1:26" ht="15.5">
      <c r="A235" s="1"/>
      <c r="B235" s="1"/>
      <c r="C235" s="1"/>
      <c r="D235" s="1"/>
      <c r="E235" s="1"/>
      <c r="F235" s="1"/>
      <c r="G235" s="1"/>
      <c r="H235" s="49"/>
      <c r="I235" s="49"/>
      <c r="J235" s="49"/>
      <c r="K235" s="49"/>
      <c r="L235" s="49"/>
      <c r="M235" s="49"/>
      <c r="N235" s="49"/>
      <c r="O235" s="49"/>
      <c r="P235" s="49"/>
      <c r="Q235" s="49"/>
      <c r="R235" s="49"/>
      <c r="S235" s="49"/>
      <c r="T235" s="49"/>
      <c r="U235" s="49"/>
      <c r="V235" s="49"/>
      <c r="W235" s="49"/>
      <c r="X235" s="49"/>
      <c r="Y235" s="49"/>
      <c r="Z235" s="49"/>
    </row>
    <row r="236" spans="1:26" ht="15.5">
      <c r="A236" s="1"/>
      <c r="B236" s="1"/>
      <c r="C236" s="1"/>
      <c r="D236" s="1"/>
      <c r="E236" s="1"/>
      <c r="F236" s="1"/>
      <c r="G236" s="1"/>
      <c r="H236" s="49"/>
      <c r="I236" s="49"/>
      <c r="J236" s="49"/>
      <c r="K236" s="49"/>
      <c r="L236" s="49"/>
      <c r="M236" s="49"/>
      <c r="N236" s="49"/>
      <c r="O236" s="49"/>
      <c r="P236" s="49"/>
      <c r="Q236" s="49"/>
      <c r="R236" s="49"/>
      <c r="S236" s="49"/>
      <c r="T236" s="49"/>
      <c r="U236" s="49"/>
      <c r="V236" s="49"/>
      <c r="W236" s="49"/>
      <c r="X236" s="49"/>
      <c r="Y236" s="49"/>
      <c r="Z236" s="49"/>
    </row>
    <row r="237" spans="1:26" ht="15.5">
      <c r="A237" s="1"/>
      <c r="B237" s="1"/>
      <c r="C237" s="1"/>
      <c r="D237" s="1"/>
      <c r="E237" s="1"/>
      <c r="F237" s="1"/>
      <c r="G237" s="1"/>
      <c r="H237" s="49"/>
      <c r="I237" s="49"/>
      <c r="J237" s="49"/>
      <c r="K237" s="49"/>
      <c r="L237" s="49"/>
      <c r="M237" s="49"/>
      <c r="N237" s="49"/>
      <c r="O237" s="49"/>
      <c r="P237" s="49"/>
      <c r="Q237" s="49"/>
      <c r="R237" s="49"/>
      <c r="S237" s="49"/>
      <c r="T237" s="49"/>
      <c r="U237" s="49"/>
      <c r="V237" s="49"/>
      <c r="W237" s="49"/>
      <c r="X237" s="49"/>
      <c r="Y237" s="49"/>
      <c r="Z237" s="49"/>
    </row>
    <row r="238" spans="1:26" ht="15.5">
      <c r="A238" s="1"/>
      <c r="B238" s="1"/>
      <c r="C238" s="1"/>
      <c r="D238" s="1"/>
      <c r="E238" s="1"/>
      <c r="F238" s="1"/>
      <c r="G238" s="1"/>
      <c r="H238" s="49"/>
      <c r="I238" s="49"/>
      <c r="J238" s="49"/>
      <c r="K238" s="49"/>
      <c r="L238" s="49"/>
      <c r="M238" s="49"/>
      <c r="N238" s="49"/>
      <c r="O238" s="49"/>
      <c r="P238" s="49"/>
      <c r="Q238" s="49"/>
      <c r="R238" s="49"/>
      <c r="S238" s="49"/>
      <c r="T238" s="49"/>
      <c r="U238" s="49"/>
      <c r="V238" s="49"/>
      <c r="W238" s="49"/>
      <c r="X238" s="49"/>
      <c r="Y238" s="49"/>
      <c r="Z238" s="49"/>
    </row>
    <row r="239" spans="1:26" ht="15.5">
      <c r="A239" s="1"/>
      <c r="B239" s="1"/>
      <c r="C239" s="1"/>
      <c r="D239" s="1"/>
      <c r="E239" s="1"/>
      <c r="F239" s="1"/>
      <c r="G239" s="1"/>
      <c r="H239" s="49"/>
      <c r="I239" s="49"/>
      <c r="J239" s="49"/>
      <c r="K239" s="49"/>
      <c r="L239" s="49"/>
      <c r="M239" s="49"/>
      <c r="N239" s="49"/>
      <c r="O239" s="49"/>
      <c r="P239" s="49"/>
      <c r="Q239" s="49"/>
      <c r="R239" s="49"/>
      <c r="S239" s="49"/>
      <c r="T239" s="49"/>
      <c r="U239" s="49"/>
      <c r="V239" s="49"/>
      <c r="W239" s="49"/>
      <c r="X239" s="49"/>
      <c r="Y239" s="49"/>
      <c r="Z239" s="49"/>
    </row>
    <row r="240" spans="1:26" ht="15.5">
      <c r="A240" s="1"/>
      <c r="B240" s="1"/>
      <c r="C240" s="1"/>
      <c r="D240" s="1"/>
      <c r="E240" s="1"/>
      <c r="F240" s="1"/>
      <c r="G240" s="1"/>
      <c r="H240" s="49"/>
      <c r="I240" s="49"/>
      <c r="J240" s="49"/>
      <c r="K240" s="49"/>
      <c r="L240" s="49"/>
      <c r="M240" s="49"/>
      <c r="N240" s="49"/>
      <c r="O240" s="49"/>
      <c r="P240" s="49"/>
      <c r="Q240" s="49"/>
      <c r="R240" s="49"/>
      <c r="S240" s="49"/>
      <c r="T240" s="49"/>
      <c r="U240" s="49"/>
      <c r="V240" s="49"/>
      <c r="W240" s="49"/>
      <c r="X240" s="49"/>
      <c r="Y240" s="49"/>
      <c r="Z240" s="49"/>
    </row>
    <row r="241" spans="1:26" ht="15.5">
      <c r="A241" s="1"/>
      <c r="B241" s="1"/>
      <c r="C241" s="1"/>
      <c r="D241" s="1"/>
      <c r="E241" s="1"/>
      <c r="F241" s="1"/>
      <c r="G241" s="1"/>
      <c r="H241" s="49"/>
      <c r="I241" s="49"/>
      <c r="J241" s="49"/>
      <c r="K241" s="49"/>
      <c r="L241" s="49"/>
      <c r="M241" s="49"/>
      <c r="N241" s="49"/>
      <c r="O241" s="49"/>
      <c r="P241" s="49"/>
      <c r="Q241" s="49"/>
      <c r="R241" s="49"/>
      <c r="S241" s="49"/>
      <c r="T241" s="49"/>
      <c r="U241" s="49"/>
      <c r="V241" s="49"/>
      <c r="W241" s="49"/>
      <c r="X241" s="49"/>
      <c r="Y241" s="49"/>
      <c r="Z241" s="49"/>
    </row>
    <row r="242" spans="1:26" ht="15.5">
      <c r="A242" s="1"/>
      <c r="B242" s="1"/>
      <c r="C242" s="1"/>
      <c r="D242" s="1"/>
      <c r="E242" s="1"/>
      <c r="F242" s="1"/>
      <c r="G242" s="1"/>
      <c r="H242" s="49"/>
      <c r="I242" s="49"/>
      <c r="J242" s="49"/>
      <c r="K242" s="49"/>
      <c r="L242" s="49"/>
      <c r="M242" s="49"/>
      <c r="N242" s="49"/>
      <c r="O242" s="49"/>
      <c r="P242" s="49"/>
      <c r="Q242" s="49"/>
      <c r="R242" s="49"/>
      <c r="S242" s="49"/>
      <c r="T242" s="49"/>
      <c r="U242" s="49"/>
      <c r="V242" s="49"/>
      <c r="W242" s="49"/>
      <c r="X242" s="49"/>
      <c r="Y242" s="49"/>
      <c r="Z242" s="49"/>
    </row>
    <row r="243" spans="1:26" ht="15.5">
      <c r="A243" s="1"/>
      <c r="B243" s="1"/>
      <c r="C243" s="1"/>
      <c r="D243" s="1"/>
      <c r="E243" s="1"/>
      <c r="F243" s="1"/>
      <c r="G243" s="1"/>
      <c r="H243" s="49"/>
      <c r="I243" s="49"/>
      <c r="J243" s="49"/>
      <c r="K243" s="49"/>
      <c r="L243" s="49"/>
      <c r="M243" s="49"/>
      <c r="N243" s="49"/>
      <c r="O243" s="49"/>
      <c r="P243" s="49"/>
      <c r="Q243" s="49"/>
      <c r="R243" s="49"/>
      <c r="S243" s="49"/>
      <c r="T243" s="49"/>
      <c r="U243" s="49"/>
      <c r="V243" s="49"/>
      <c r="W243" s="49"/>
      <c r="X243" s="49"/>
      <c r="Y243" s="49"/>
      <c r="Z243" s="49"/>
    </row>
    <row r="244" spans="1:26" ht="15.5">
      <c r="A244" s="1"/>
      <c r="B244" s="1"/>
      <c r="C244" s="1"/>
      <c r="D244" s="1"/>
      <c r="E244" s="1"/>
      <c r="F244" s="1"/>
      <c r="G244" s="1"/>
      <c r="H244" s="49"/>
      <c r="I244" s="49"/>
      <c r="J244" s="49"/>
      <c r="K244" s="49"/>
      <c r="L244" s="49"/>
      <c r="M244" s="49"/>
      <c r="N244" s="49"/>
      <c r="O244" s="49"/>
      <c r="P244" s="49"/>
      <c r="Q244" s="49"/>
      <c r="R244" s="49"/>
      <c r="S244" s="49"/>
      <c r="T244" s="49"/>
      <c r="U244" s="49"/>
      <c r="V244" s="49"/>
      <c r="W244" s="49"/>
      <c r="X244" s="49"/>
      <c r="Y244" s="49"/>
      <c r="Z244" s="49"/>
    </row>
    <row r="245" spans="1:26" ht="15.5">
      <c r="A245" s="1"/>
      <c r="B245" s="1"/>
      <c r="C245" s="1"/>
      <c r="D245" s="1"/>
      <c r="E245" s="1"/>
      <c r="F245" s="1"/>
      <c r="G245" s="1"/>
      <c r="H245" s="49"/>
      <c r="I245" s="49"/>
      <c r="J245" s="49"/>
      <c r="K245" s="49"/>
      <c r="L245" s="49"/>
      <c r="M245" s="49"/>
      <c r="N245" s="49"/>
      <c r="O245" s="49"/>
      <c r="P245" s="49"/>
      <c r="Q245" s="49"/>
      <c r="R245" s="49"/>
      <c r="S245" s="49"/>
      <c r="T245" s="49"/>
      <c r="U245" s="49"/>
      <c r="V245" s="49"/>
      <c r="W245" s="49"/>
      <c r="X245" s="49"/>
      <c r="Y245" s="49"/>
      <c r="Z245" s="49"/>
    </row>
    <row r="246" spans="1:26" ht="15.5">
      <c r="A246" s="1"/>
      <c r="B246" s="1"/>
      <c r="C246" s="1"/>
      <c r="D246" s="1"/>
      <c r="E246" s="1"/>
      <c r="F246" s="1"/>
      <c r="G246" s="1"/>
      <c r="H246" s="49"/>
      <c r="I246" s="49"/>
      <c r="J246" s="49"/>
      <c r="K246" s="49"/>
      <c r="L246" s="49"/>
      <c r="M246" s="49"/>
      <c r="N246" s="49"/>
      <c r="O246" s="49"/>
      <c r="P246" s="49"/>
      <c r="Q246" s="49"/>
      <c r="R246" s="49"/>
      <c r="S246" s="49"/>
      <c r="T246" s="49"/>
      <c r="U246" s="49"/>
      <c r="V246" s="49"/>
      <c r="W246" s="49"/>
      <c r="X246" s="49"/>
      <c r="Y246" s="49"/>
      <c r="Z246" s="49"/>
    </row>
    <row r="247" spans="1:26" ht="15.5">
      <c r="A247" s="1"/>
      <c r="B247" s="1"/>
      <c r="C247" s="1"/>
      <c r="D247" s="1"/>
      <c r="E247" s="1"/>
      <c r="F247" s="1"/>
      <c r="G247" s="1"/>
      <c r="H247" s="49"/>
      <c r="I247" s="49"/>
      <c r="J247" s="49"/>
      <c r="K247" s="49"/>
      <c r="L247" s="49"/>
      <c r="M247" s="49"/>
      <c r="N247" s="49"/>
      <c r="O247" s="49"/>
      <c r="P247" s="49"/>
      <c r="Q247" s="49"/>
      <c r="R247" s="49"/>
      <c r="S247" s="49"/>
      <c r="T247" s="49"/>
      <c r="U247" s="49"/>
      <c r="V247" s="49"/>
      <c r="W247" s="49"/>
      <c r="X247" s="49"/>
      <c r="Y247" s="49"/>
      <c r="Z247" s="49"/>
    </row>
    <row r="248" spans="1:26" ht="15.5">
      <c r="A248" s="1"/>
      <c r="B248" s="1"/>
      <c r="C248" s="1"/>
      <c r="D248" s="1"/>
      <c r="E248" s="1"/>
      <c r="F248" s="1"/>
      <c r="G248" s="1"/>
      <c r="H248" s="49"/>
      <c r="I248" s="49"/>
      <c r="J248" s="49"/>
      <c r="K248" s="49"/>
      <c r="L248" s="49"/>
      <c r="M248" s="49"/>
      <c r="N248" s="49"/>
      <c r="O248" s="49"/>
      <c r="P248" s="49"/>
      <c r="Q248" s="49"/>
      <c r="R248" s="49"/>
      <c r="S248" s="49"/>
      <c r="T248" s="49"/>
      <c r="U248" s="49"/>
      <c r="V248" s="49"/>
      <c r="W248" s="49"/>
      <c r="X248" s="49"/>
      <c r="Y248" s="49"/>
      <c r="Z248" s="49"/>
    </row>
    <row r="249" spans="1:26" ht="15.5">
      <c r="A249" s="1"/>
      <c r="B249" s="1"/>
      <c r="C249" s="1"/>
      <c r="D249" s="1"/>
      <c r="E249" s="1"/>
      <c r="F249" s="1"/>
      <c r="G249" s="1"/>
      <c r="H249" s="49"/>
      <c r="I249" s="49"/>
      <c r="J249" s="49"/>
      <c r="K249" s="49"/>
      <c r="L249" s="49"/>
      <c r="M249" s="49"/>
      <c r="N249" s="49"/>
      <c r="O249" s="49"/>
      <c r="P249" s="49"/>
      <c r="Q249" s="49"/>
      <c r="R249" s="49"/>
      <c r="S249" s="49"/>
      <c r="T249" s="49"/>
      <c r="U249" s="49"/>
      <c r="V249" s="49"/>
      <c r="W249" s="49"/>
      <c r="X249" s="49"/>
      <c r="Y249" s="49"/>
      <c r="Z249" s="49"/>
    </row>
    <row r="250" spans="1:26" ht="15.5">
      <c r="A250" s="1"/>
      <c r="B250" s="1"/>
      <c r="C250" s="1"/>
      <c r="D250" s="1"/>
      <c r="E250" s="1"/>
      <c r="F250" s="1"/>
      <c r="G250" s="1"/>
      <c r="H250" s="49"/>
      <c r="I250" s="49"/>
      <c r="J250" s="49"/>
      <c r="K250" s="49"/>
      <c r="L250" s="49"/>
      <c r="M250" s="49"/>
      <c r="N250" s="49"/>
      <c r="O250" s="49"/>
      <c r="P250" s="49"/>
      <c r="Q250" s="49"/>
      <c r="R250" s="49"/>
      <c r="S250" s="49"/>
      <c r="T250" s="49"/>
      <c r="U250" s="49"/>
      <c r="V250" s="49"/>
      <c r="W250" s="49"/>
      <c r="X250" s="49"/>
      <c r="Y250" s="49"/>
      <c r="Z250" s="49"/>
    </row>
    <row r="251" spans="1:26" ht="15.5">
      <c r="A251" s="1"/>
      <c r="B251" s="1"/>
      <c r="C251" s="1"/>
      <c r="D251" s="1"/>
      <c r="E251" s="1"/>
      <c r="F251" s="1"/>
      <c r="G251" s="1"/>
      <c r="H251" s="49"/>
      <c r="I251" s="49"/>
      <c r="J251" s="49"/>
      <c r="K251" s="49"/>
      <c r="L251" s="49"/>
      <c r="M251" s="49"/>
      <c r="N251" s="49"/>
      <c r="O251" s="49"/>
      <c r="P251" s="49"/>
      <c r="Q251" s="49"/>
      <c r="R251" s="49"/>
      <c r="S251" s="49"/>
      <c r="T251" s="49"/>
      <c r="U251" s="49"/>
      <c r="V251" s="49"/>
      <c r="W251" s="49"/>
      <c r="X251" s="49"/>
      <c r="Y251" s="49"/>
      <c r="Z251" s="49"/>
    </row>
    <row r="252" spans="1:26" ht="15.5">
      <c r="A252" s="1"/>
      <c r="B252" s="1"/>
      <c r="C252" s="1"/>
      <c r="D252" s="1"/>
      <c r="E252" s="1"/>
      <c r="F252" s="1"/>
      <c r="G252" s="1"/>
      <c r="H252" s="49"/>
      <c r="I252" s="49"/>
      <c r="J252" s="49"/>
      <c r="K252" s="49"/>
      <c r="L252" s="49"/>
      <c r="M252" s="49"/>
      <c r="N252" s="49"/>
      <c r="O252" s="49"/>
      <c r="P252" s="49"/>
      <c r="Q252" s="49"/>
      <c r="R252" s="49"/>
      <c r="S252" s="49"/>
      <c r="T252" s="49"/>
      <c r="U252" s="49"/>
      <c r="V252" s="49"/>
      <c r="W252" s="49"/>
      <c r="X252" s="49"/>
      <c r="Y252" s="49"/>
      <c r="Z252" s="49"/>
    </row>
    <row r="253" spans="1:26" ht="15.5">
      <c r="A253" s="1"/>
      <c r="B253" s="1"/>
      <c r="C253" s="1"/>
      <c r="D253" s="1"/>
      <c r="E253" s="1"/>
      <c r="F253" s="1"/>
      <c r="G253" s="1"/>
      <c r="H253" s="49"/>
      <c r="I253" s="49"/>
      <c r="J253" s="49"/>
      <c r="K253" s="49"/>
      <c r="L253" s="49"/>
      <c r="M253" s="49"/>
      <c r="N253" s="49"/>
      <c r="O253" s="49"/>
      <c r="P253" s="49"/>
      <c r="Q253" s="49"/>
      <c r="R253" s="49"/>
      <c r="S253" s="49"/>
      <c r="T253" s="49"/>
      <c r="U253" s="49"/>
      <c r="V253" s="49"/>
      <c r="W253" s="49"/>
      <c r="X253" s="49"/>
      <c r="Y253" s="49"/>
      <c r="Z253" s="49"/>
    </row>
    <row r="254" spans="1:26" ht="15.5">
      <c r="A254" s="1"/>
      <c r="B254" s="1"/>
      <c r="C254" s="1"/>
      <c r="D254" s="1"/>
      <c r="E254" s="1"/>
      <c r="F254" s="1"/>
      <c r="G254" s="1"/>
      <c r="H254" s="49"/>
      <c r="I254" s="49"/>
      <c r="J254" s="49"/>
      <c r="K254" s="49"/>
      <c r="L254" s="49"/>
      <c r="M254" s="49"/>
      <c r="N254" s="49"/>
      <c r="O254" s="49"/>
      <c r="P254" s="49"/>
      <c r="Q254" s="49"/>
      <c r="R254" s="49"/>
      <c r="S254" s="49"/>
      <c r="T254" s="49"/>
      <c r="U254" s="49"/>
      <c r="V254" s="49"/>
      <c r="W254" s="49"/>
      <c r="X254" s="49"/>
      <c r="Y254" s="49"/>
      <c r="Z254" s="49"/>
    </row>
    <row r="255" spans="1:26" ht="15.5">
      <c r="A255" s="1"/>
      <c r="B255" s="1"/>
      <c r="C255" s="1"/>
      <c r="D255" s="1"/>
      <c r="E255" s="1"/>
      <c r="F255" s="1"/>
      <c r="G255" s="1"/>
      <c r="H255" s="49"/>
      <c r="I255" s="49"/>
      <c r="J255" s="49"/>
      <c r="K255" s="49"/>
      <c r="L255" s="49"/>
      <c r="M255" s="49"/>
      <c r="N255" s="49"/>
      <c r="O255" s="49"/>
      <c r="P255" s="49"/>
      <c r="Q255" s="49"/>
      <c r="R255" s="49"/>
      <c r="S255" s="49"/>
      <c r="T255" s="49"/>
      <c r="U255" s="49"/>
      <c r="V255" s="49"/>
      <c r="W255" s="49"/>
      <c r="X255" s="49"/>
      <c r="Y255" s="49"/>
      <c r="Z255" s="49"/>
    </row>
    <row r="256" spans="1:26" ht="15.5">
      <c r="A256" s="1"/>
      <c r="B256" s="1"/>
      <c r="C256" s="1"/>
      <c r="D256" s="1"/>
      <c r="E256" s="1"/>
      <c r="F256" s="1"/>
      <c r="G256" s="1"/>
      <c r="H256" s="49"/>
      <c r="I256" s="49"/>
      <c r="J256" s="49"/>
      <c r="K256" s="49"/>
      <c r="L256" s="49"/>
      <c r="M256" s="49"/>
      <c r="N256" s="49"/>
      <c r="O256" s="49"/>
      <c r="P256" s="49"/>
      <c r="Q256" s="49"/>
      <c r="R256" s="49"/>
      <c r="S256" s="49"/>
      <c r="T256" s="49"/>
      <c r="U256" s="49"/>
      <c r="V256" s="49"/>
      <c r="W256" s="49"/>
      <c r="X256" s="49"/>
      <c r="Y256" s="49"/>
      <c r="Z256" s="49"/>
    </row>
    <row r="257" spans="1:26" ht="15.5">
      <c r="A257" s="1"/>
      <c r="B257" s="1"/>
      <c r="C257" s="1"/>
      <c r="D257" s="1"/>
      <c r="E257" s="1"/>
      <c r="F257" s="1"/>
      <c r="G257" s="1"/>
      <c r="H257" s="49"/>
      <c r="I257" s="49"/>
      <c r="J257" s="49"/>
      <c r="K257" s="49"/>
      <c r="L257" s="49"/>
      <c r="M257" s="49"/>
      <c r="N257" s="49"/>
      <c r="O257" s="49"/>
      <c r="P257" s="49"/>
      <c r="Q257" s="49"/>
      <c r="R257" s="49"/>
      <c r="S257" s="49"/>
      <c r="T257" s="49"/>
      <c r="U257" s="49"/>
      <c r="V257" s="49"/>
      <c r="W257" s="49"/>
      <c r="X257" s="49"/>
      <c r="Y257" s="49"/>
      <c r="Z257" s="49"/>
    </row>
    <row r="258" spans="1:26" ht="15.5">
      <c r="A258" s="1"/>
      <c r="B258" s="1"/>
      <c r="C258" s="1"/>
      <c r="D258" s="1"/>
      <c r="E258" s="1"/>
      <c r="F258" s="1"/>
      <c r="G258" s="1"/>
      <c r="H258" s="49"/>
      <c r="I258" s="49"/>
      <c r="J258" s="49"/>
      <c r="K258" s="49"/>
      <c r="L258" s="49"/>
      <c r="M258" s="49"/>
      <c r="N258" s="49"/>
      <c r="O258" s="49"/>
      <c r="P258" s="49"/>
      <c r="Q258" s="49"/>
      <c r="R258" s="49"/>
      <c r="S258" s="49"/>
      <c r="T258" s="49"/>
      <c r="U258" s="49"/>
      <c r="V258" s="49"/>
      <c r="W258" s="49"/>
      <c r="X258" s="49"/>
      <c r="Y258" s="49"/>
      <c r="Z258" s="49"/>
    </row>
    <row r="259" spans="1:26" ht="15.5">
      <c r="A259" s="1"/>
      <c r="B259" s="1"/>
      <c r="C259" s="1"/>
      <c r="D259" s="1"/>
      <c r="E259" s="1"/>
      <c r="F259" s="1"/>
      <c r="G259" s="1"/>
      <c r="H259" s="49"/>
      <c r="I259" s="49"/>
      <c r="J259" s="49"/>
      <c r="K259" s="49"/>
      <c r="L259" s="49"/>
      <c r="M259" s="49"/>
      <c r="N259" s="49"/>
      <c r="O259" s="49"/>
      <c r="P259" s="49"/>
      <c r="Q259" s="49"/>
      <c r="R259" s="49"/>
      <c r="S259" s="49"/>
      <c r="T259" s="49"/>
      <c r="U259" s="49"/>
      <c r="V259" s="49"/>
      <c r="W259" s="49"/>
      <c r="X259" s="49"/>
      <c r="Y259" s="49"/>
      <c r="Z259" s="49"/>
    </row>
    <row r="260" spans="1:26" ht="15.5">
      <c r="A260" s="1"/>
      <c r="B260" s="1"/>
      <c r="C260" s="1"/>
      <c r="D260" s="1"/>
      <c r="E260" s="1"/>
      <c r="F260" s="1"/>
      <c r="G260" s="1"/>
      <c r="H260" s="49"/>
      <c r="I260" s="49"/>
      <c r="J260" s="49"/>
      <c r="K260" s="49"/>
      <c r="L260" s="49"/>
      <c r="M260" s="49"/>
      <c r="N260" s="49"/>
      <c r="O260" s="49"/>
      <c r="P260" s="49"/>
      <c r="Q260" s="49"/>
      <c r="R260" s="49"/>
      <c r="S260" s="49"/>
      <c r="T260" s="49"/>
      <c r="U260" s="49"/>
      <c r="V260" s="49"/>
      <c r="W260" s="49"/>
      <c r="X260" s="49"/>
      <c r="Y260" s="49"/>
      <c r="Z260" s="49"/>
    </row>
    <row r="261" spans="1:26" ht="15.5">
      <c r="A261" s="1"/>
      <c r="B261" s="1"/>
      <c r="C261" s="1"/>
      <c r="D261" s="1"/>
      <c r="E261" s="1"/>
      <c r="F261" s="1"/>
      <c r="G261" s="1"/>
      <c r="H261" s="49"/>
      <c r="I261" s="49"/>
      <c r="J261" s="49"/>
      <c r="K261" s="49"/>
      <c r="L261" s="49"/>
      <c r="M261" s="49"/>
      <c r="N261" s="49"/>
      <c r="O261" s="49"/>
      <c r="P261" s="49"/>
      <c r="Q261" s="49"/>
      <c r="R261" s="49"/>
      <c r="S261" s="49"/>
      <c r="T261" s="49"/>
      <c r="U261" s="49"/>
      <c r="V261" s="49"/>
      <c r="W261" s="49"/>
      <c r="X261" s="49"/>
      <c r="Y261" s="49"/>
      <c r="Z261" s="49"/>
    </row>
    <row r="262" spans="1:26" ht="15.5">
      <c r="A262" s="1"/>
      <c r="B262" s="1"/>
      <c r="C262" s="1"/>
      <c r="D262" s="1"/>
      <c r="E262" s="1"/>
      <c r="F262" s="1"/>
      <c r="G262" s="1"/>
      <c r="H262" s="49"/>
      <c r="I262" s="49"/>
      <c r="J262" s="49"/>
      <c r="K262" s="49"/>
      <c r="L262" s="49"/>
      <c r="M262" s="49"/>
      <c r="N262" s="49"/>
      <c r="O262" s="49"/>
      <c r="P262" s="49"/>
      <c r="Q262" s="49"/>
      <c r="R262" s="49"/>
      <c r="S262" s="49"/>
      <c r="T262" s="49"/>
      <c r="U262" s="49"/>
      <c r="V262" s="49"/>
      <c r="W262" s="49"/>
      <c r="X262" s="49"/>
      <c r="Y262" s="49"/>
      <c r="Z262" s="49"/>
    </row>
    <row r="263" spans="1:26" ht="15.5">
      <c r="A263" s="1"/>
      <c r="B263" s="1"/>
      <c r="C263" s="1"/>
      <c r="D263" s="1"/>
      <c r="E263" s="1"/>
      <c r="F263" s="1"/>
      <c r="G263" s="1"/>
      <c r="H263" s="49"/>
      <c r="I263" s="49"/>
      <c r="J263" s="49"/>
      <c r="K263" s="49"/>
      <c r="L263" s="49"/>
      <c r="M263" s="49"/>
      <c r="N263" s="49"/>
      <c r="O263" s="49"/>
      <c r="P263" s="49"/>
      <c r="Q263" s="49"/>
      <c r="R263" s="49"/>
      <c r="S263" s="49"/>
      <c r="T263" s="49"/>
      <c r="U263" s="49"/>
      <c r="V263" s="49"/>
      <c r="W263" s="49"/>
      <c r="X263" s="49"/>
      <c r="Y263" s="49"/>
      <c r="Z263" s="49"/>
    </row>
    <row r="264" spans="1:26" ht="15.5">
      <c r="A264" s="1"/>
      <c r="B264" s="1"/>
      <c r="C264" s="1"/>
      <c r="D264" s="1"/>
      <c r="E264" s="1"/>
      <c r="F264" s="1"/>
      <c r="G264" s="1"/>
      <c r="H264" s="49"/>
      <c r="I264" s="49"/>
      <c r="J264" s="49"/>
      <c r="K264" s="49"/>
      <c r="L264" s="49"/>
      <c r="M264" s="49"/>
      <c r="N264" s="49"/>
      <c r="O264" s="49"/>
      <c r="P264" s="49"/>
      <c r="Q264" s="49"/>
      <c r="R264" s="49"/>
      <c r="S264" s="49"/>
      <c r="T264" s="49"/>
      <c r="U264" s="49"/>
      <c r="V264" s="49"/>
      <c r="W264" s="49"/>
      <c r="X264" s="49"/>
      <c r="Y264" s="49"/>
      <c r="Z264" s="49"/>
    </row>
    <row r="265" spans="1:26" ht="15.5">
      <c r="A265" s="1"/>
      <c r="B265" s="1"/>
      <c r="C265" s="1"/>
      <c r="D265" s="1"/>
      <c r="E265" s="1"/>
      <c r="F265" s="1"/>
      <c r="G265" s="1"/>
      <c r="H265" s="49"/>
      <c r="I265" s="49"/>
      <c r="J265" s="49"/>
      <c r="K265" s="49"/>
      <c r="L265" s="49"/>
      <c r="M265" s="49"/>
      <c r="N265" s="49"/>
      <c r="O265" s="49"/>
      <c r="P265" s="49"/>
      <c r="Q265" s="49"/>
      <c r="R265" s="49"/>
      <c r="S265" s="49"/>
      <c r="T265" s="49"/>
      <c r="U265" s="49"/>
      <c r="V265" s="49"/>
      <c r="W265" s="49"/>
      <c r="X265" s="49"/>
      <c r="Y265" s="49"/>
      <c r="Z265" s="49"/>
    </row>
    <row r="266" spans="1:26" ht="15.5">
      <c r="A266" s="1"/>
      <c r="B266" s="1"/>
      <c r="C266" s="1"/>
      <c r="D266" s="1"/>
      <c r="E266" s="1"/>
      <c r="F266" s="1"/>
      <c r="G266" s="1"/>
      <c r="H266" s="49"/>
      <c r="I266" s="49"/>
      <c r="J266" s="49"/>
      <c r="K266" s="49"/>
      <c r="L266" s="49"/>
      <c r="M266" s="49"/>
      <c r="N266" s="49"/>
      <c r="O266" s="49"/>
      <c r="P266" s="49"/>
      <c r="Q266" s="49"/>
      <c r="R266" s="49"/>
      <c r="S266" s="49"/>
      <c r="T266" s="49"/>
      <c r="U266" s="49"/>
      <c r="V266" s="49"/>
      <c r="W266" s="49"/>
      <c r="X266" s="49"/>
      <c r="Y266" s="49"/>
      <c r="Z266" s="49"/>
    </row>
    <row r="267" spans="1:26" ht="15.5">
      <c r="A267" s="1"/>
      <c r="B267" s="1"/>
      <c r="C267" s="1"/>
      <c r="D267" s="1"/>
      <c r="E267" s="1"/>
      <c r="F267" s="1"/>
      <c r="G267" s="1"/>
      <c r="H267" s="49"/>
      <c r="I267" s="49"/>
      <c r="J267" s="49"/>
      <c r="K267" s="49"/>
      <c r="L267" s="49"/>
      <c r="M267" s="49"/>
      <c r="N267" s="49"/>
      <c r="O267" s="49"/>
      <c r="P267" s="49"/>
      <c r="Q267" s="49"/>
      <c r="R267" s="49"/>
      <c r="S267" s="49"/>
      <c r="T267" s="49"/>
      <c r="U267" s="49"/>
      <c r="V267" s="49"/>
      <c r="W267" s="49"/>
      <c r="X267" s="49"/>
      <c r="Y267" s="49"/>
      <c r="Z267" s="49"/>
    </row>
    <row r="268" spans="1:26" ht="15.5">
      <c r="A268" s="1"/>
      <c r="B268" s="1"/>
      <c r="C268" s="1"/>
      <c r="D268" s="1"/>
      <c r="E268" s="1"/>
      <c r="F268" s="1"/>
      <c r="G268" s="1"/>
      <c r="H268" s="49"/>
      <c r="I268" s="49"/>
      <c r="J268" s="49"/>
      <c r="K268" s="49"/>
      <c r="L268" s="49"/>
      <c r="M268" s="49"/>
      <c r="N268" s="49"/>
      <c r="O268" s="49"/>
      <c r="P268" s="49"/>
      <c r="Q268" s="49"/>
      <c r="R268" s="49"/>
      <c r="S268" s="49"/>
      <c r="T268" s="49"/>
      <c r="U268" s="49"/>
      <c r="V268" s="49"/>
      <c r="W268" s="49"/>
      <c r="X268" s="49"/>
      <c r="Y268" s="49"/>
      <c r="Z268" s="49"/>
    </row>
    <row r="269" spans="1:26" ht="15.5">
      <c r="A269" s="1"/>
      <c r="B269" s="1"/>
      <c r="C269" s="1"/>
      <c r="D269" s="1"/>
      <c r="E269" s="1"/>
      <c r="F269" s="1"/>
      <c r="G269" s="1"/>
      <c r="H269" s="49"/>
      <c r="I269" s="49"/>
      <c r="J269" s="49"/>
      <c r="K269" s="49"/>
      <c r="L269" s="49"/>
      <c r="M269" s="49"/>
      <c r="N269" s="49"/>
      <c r="O269" s="49"/>
      <c r="P269" s="49"/>
      <c r="Q269" s="49"/>
      <c r="R269" s="49"/>
      <c r="S269" s="49"/>
      <c r="T269" s="49"/>
      <c r="U269" s="49"/>
      <c r="V269" s="49"/>
      <c r="W269" s="49"/>
      <c r="X269" s="49"/>
      <c r="Y269" s="49"/>
      <c r="Z269" s="49"/>
    </row>
    <row r="270" spans="1:26" ht="15.5">
      <c r="A270" s="1"/>
      <c r="B270" s="1"/>
      <c r="C270" s="1"/>
      <c r="D270" s="1"/>
      <c r="E270" s="1"/>
      <c r="F270" s="1"/>
      <c r="G270" s="1"/>
      <c r="H270" s="49"/>
      <c r="I270" s="49"/>
      <c r="J270" s="49"/>
      <c r="K270" s="49"/>
      <c r="L270" s="49"/>
      <c r="M270" s="49"/>
      <c r="N270" s="49"/>
      <c r="O270" s="49"/>
      <c r="P270" s="49"/>
      <c r="Q270" s="49"/>
      <c r="R270" s="49"/>
      <c r="S270" s="49"/>
      <c r="T270" s="49"/>
      <c r="U270" s="49"/>
      <c r="V270" s="49"/>
      <c r="W270" s="49"/>
      <c r="X270" s="49"/>
      <c r="Y270" s="49"/>
      <c r="Z270" s="49"/>
    </row>
    <row r="271" spans="1:26" ht="15.5">
      <c r="A271" s="1"/>
      <c r="B271" s="1"/>
      <c r="C271" s="1"/>
      <c r="D271" s="1"/>
      <c r="E271" s="1"/>
      <c r="F271" s="1"/>
      <c r="G271" s="1"/>
      <c r="H271" s="49"/>
      <c r="I271" s="49"/>
      <c r="J271" s="49"/>
      <c r="K271" s="49"/>
      <c r="L271" s="49"/>
      <c r="M271" s="49"/>
      <c r="N271" s="49"/>
      <c r="O271" s="49"/>
      <c r="P271" s="49"/>
      <c r="Q271" s="49"/>
      <c r="R271" s="49"/>
      <c r="S271" s="49"/>
      <c r="T271" s="49"/>
      <c r="U271" s="49"/>
      <c r="V271" s="49"/>
      <c r="W271" s="49"/>
      <c r="X271" s="49"/>
      <c r="Y271" s="49"/>
      <c r="Z271" s="49"/>
    </row>
    <row r="272" spans="1:26" ht="15.5">
      <c r="A272" s="1"/>
      <c r="B272" s="1"/>
      <c r="C272" s="1"/>
      <c r="D272" s="1"/>
      <c r="E272" s="1"/>
      <c r="F272" s="1"/>
      <c r="G272" s="1"/>
      <c r="H272" s="49"/>
      <c r="I272" s="49"/>
      <c r="J272" s="49"/>
      <c r="K272" s="49"/>
      <c r="L272" s="49"/>
      <c r="M272" s="49"/>
      <c r="N272" s="49"/>
      <c r="O272" s="49"/>
      <c r="P272" s="49"/>
      <c r="Q272" s="49"/>
      <c r="R272" s="49"/>
      <c r="S272" s="49"/>
      <c r="T272" s="49"/>
      <c r="U272" s="49"/>
      <c r="V272" s="49"/>
      <c r="W272" s="49"/>
      <c r="X272" s="49"/>
      <c r="Y272" s="49"/>
      <c r="Z272" s="49"/>
    </row>
    <row r="273" spans="1:26" ht="15.5">
      <c r="A273" s="1"/>
      <c r="B273" s="1"/>
      <c r="C273" s="1"/>
      <c r="D273" s="1"/>
      <c r="E273" s="1"/>
      <c r="F273" s="1"/>
      <c r="G273" s="1"/>
      <c r="H273" s="49"/>
      <c r="I273" s="49"/>
      <c r="J273" s="49"/>
      <c r="K273" s="49"/>
      <c r="L273" s="49"/>
      <c r="M273" s="49"/>
      <c r="N273" s="49"/>
      <c r="O273" s="49"/>
      <c r="P273" s="49"/>
      <c r="Q273" s="49"/>
      <c r="R273" s="49"/>
      <c r="S273" s="49"/>
      <c r="T273" s="49"/>
      <c r="U273" s="49"/>
      <c r="V273" s="49"/>
      <c r="W273" s="49"/>
      <c r="X273" s="49"/>
      <c r="Y273" s="49"/>
      <c r="Z273" s="49"/>
    </row>
    <row r="274" spans="1:26" ht="15.5">
      <c r="A274" s="1"/>
      <c r="B274" s="1"/>
      <c r="C274" s="1"/>
      <c r="D274" s="1"/>
      <c r="E274" s="1"/>
      <c r="F274" s="1"/>
      <c r="G274" s="1"/>
      <c r="H274" s="49"/>
      <c r="I274" s="49"/>
      <c r="J274" s="49"/>
      <c r="K274" s="49"/>
      <c r="L274" s="49"/>
      <c r="M274" s="49"/>
      <c r="N274" s="49"/>
      <c r="O274" s="49"/>
      <c r="P274" s="49"/>
      <c r="Q274" s="49"/>
      <c r="R274" s="49"/>
      <c r="S274" s="49"/>
      <c r="T274" s="49"/>
      <c r="U274" s="49"/>
      <c r="V274" s="49"/>
      <c r="W274" s="49"/>
      <c r="X274" s="49"/>
      <c r="Y274" s="49"/>
      <c r="Z274" s="49"/>
    </row>
    <row r="275" spans="1:26" ht="15.5">
      <c r="A275" s="1"/>
      <c r="B275" s="1"/>
      <c r="C275" s="1"/>
      <c r="D275" s="1"/>
      <c r="E275" s="1"/>
      <c r="F275" s="1"/>
      <c r="G275" s="1"/>
      <c r="H275" s="49"/>
      <c r="I275" s="49"/>
      <c r="J275" s="49"/>
      <c r="K275" s="49"/>
      <c r="L275" s="49"/>
      <c r="M275" s="49"/>
      <c r="N275" s="49"/>
      <c r="O275" s="49"/>
      <c r="P275" s="49"/>
      <c r="Q275" s="49"/>
      <c r="R275" s="49"/>
      <c r="S275" s="49"/>
      <c r="T275" s="49"/>
      <c r="U275" s="49"/>
      <c r="V275" s="49"/>
      <c r="W275" s="49"/>
      <c r="X275" s="49"/>
      <c r="Y275" s="49"/>
      <c r="Z275" s="49"/>
    </row>
    <row r="276" spans="1:26" ht="15.5">
      <c r="A276" s="1"/>
      <c r="B276" s="1"/>
      <c r="C276" s="1"/>
      <c r="D276" s="1"/>
      <c r="E276" s="1"/>
      <c r="F276" s="1"/>
      <c r="G276" s="1"/>
      <c r="H276" s="49"/>
      <c r="I276" s="49"/>
      <c r="J276" s="49"/>
      <c r="K276" s="49"/>
      <c r="L276" s="49"/>
      <c r="M276" s="49"/>
      <c r="N276" s="49"/>
      <c r="O276" s="49"/>
      <c r="P276" s="49"/>
      <c r="Q276" s="49"/>
      <c r="R276" s="49"/>
      <c r="S276" s="49"/>
      <c r="T276" s="49"/>
      <c r="U276" s="49"/>
      <c r="V276" s="49"/>
      <c r="W276" s="49"/>
      <c r="X276" s="49"/>
      <c r="Y276" s="49"/>
      <c r="Z276" s="49"/>
    </row>
    <row r="277" spans="1:26" ht="15.5">
      <c r="A277" s="1"/>
      <c r="B277" s="1"/>
      <c r="C277" s="1"/>
      <c r="D277" s="1"/>
      <c r="E277" s="1"/>
      <c r="F277" s="1"/>
      <c r="G277" s="1"/>
      <c r="H277" s="49"/>
      <c r="I277" s="49"/>
      <c r="J277" s="49"/>
      <c r="K277" s="49"/>
      <c r="L277" s="49"/>
      <c r="M277" s="49"/>
      <c r="N277" s="49"/>
      <c r="O277" s="49"/>
      <c r="P277" s="49"/>
      <c r="Q277" s="49"/>
      <c r="R277" s="49"/>
      <c r="S277" s="49"/>
      <c r="T277" s="49"/>
      <c r="U277" s="49"/>
      <c r="V277" s="49"/>
      <c r="W277" s="49"/>
      <c r="X277" s="49"/>
      <c r="Y277" s="49"/>
      <c r="Z277" s="49"/>
    </row>
    <row r="278" spans="1:26" ht="15.5">
      <c r="A278" s="1"/>
      <c r="B278" s="1"/>
      <c r="C278" s="1"/>
      <c r="D278" s="1"/>
      <c r="E278" s="1"/>
      <c r="F278" s="1"/>
      <c r="G278" s="1"/>
      <c r="H278" s="49"/>
      <c r="I278" s="49"/>
      <c r="J278" s="49"/>
      <c r="K278" s="49"/>
      <c r="L278" s="49"/>
      <c r="M278" s="49"/>
      <c r="N278" s="49"/>
      <c r="O278" s="49"/>
      <c r="P278" s="49"/>
      <c r="Q278" s="49"/>
      <c r="R278" s="49"/>
      <c r="S278" s="49"/>
      <c r="T278" s="49"/>
      <c r="U278" s="49"/>
      <c r="V278" s="49"/>
      <c r="W278" s="49"/>
      <c r="X278" s="49"/>
      <c r="Y278" s="49"/>
      <c r="Z278" s="49"/>
    </row>
    <row r="279" spans="1:26" ht="15.5">
      <c r="A279" s="1"/>
      <c r="B279" s="1"/>
      <c r="C279" s="1"/>
      <c r="D279" s="1"/>
      <c r="E279" s="1"/>
      <c r="F279" s="1"/>
      <c r="G279" s="1"/>
      <c r="H279" s="49"/>
      <c r="I279" s="49"/>
      <c r="J279" s="49"/>
      <c r="K279" s="49"/>
      <c r="L279" s="49"/>
      <c r="M279" s="49"/>
      <c r="N279" s="49"/>
      <c r="O279" s="49"/>
      <c r="P279" s="49"/>
      <c r="Q279" s="49"/>
      <c r="R279" s="49"/>
      <c r="S279" s="49"/>
      <c r="T279" s="49"/>
      <c r="U279" s="49"/>
      <c r="V279" s="49"/>
      <c r="W279" s="49"/>
      <c r="X279" s="49"/>
      <c r="Y279" s="49"/>
      <c r="Z279" s="49"/>
    </row>
    <row r="280" spans="1:26" ht="15.5">
      <c r="A280" s="1"/>
      <c r="B280" s="1"/>
      <c r="C280" s="1"/>
      <c r="D280" s="1"/>
      <c r="E280" s="1"/>
      <c r="F280" s="1"/>
      <c r="G280" s="1"/>
      <c r="H280" s="49"/>
      <c r="I280" s="49"/>
      <c r="J280" s="49"/>
      <c r="K280" s="49"/>
      <c r="L280" s="49"/>
      <c r="M280" s="49"/>
      <c r="N280" s="49"/>
      <c r="O280" s="49"/>
      <c r="P280" s="49"/>
      <c r="Q280" s="49"/>
      <c r="R280" s="49"/>
      <c r="S280" s="49"/>
      <c r="T280" s="49"/>
      <c r="U280" s="49"/>
      <c r="V280" s="49"/>
      <c r="W280" s="49"/>
      <c r="X280" s="49"/>
      <c r="Y280" s="49"/>
      <c r="Z280" s="49"/>
    </row>
    <row r="281" spans="1:26" ht="15.5">
      <c r="A281" s="1"/>
      <c r="B281" s="1"/>
      <c r="C281" s="1"/>
      <c r="D281" s="1"/>
      <c r="E281" s="1"/>
      <c r="F281" s="1"/>
      <c r="G281" s="1"/>
      <c r="H281" s="49"/>
      <c r="I281" s="49"/>
      <c r="J281" s="49"/>
      <c r="K281" s="49"/>
      <c r="L281" s="49"/>
      <c r="M281" s="49"/>
      <c r="N281" s="49"/>
      <c r="O281" s="49"/>
      <c r="P281" s="49"/>
      <c r="Q281" s="49"/>
      <c r="R281" s="49"/>
      <c r="S281" s="49"/>
      <c r="T281" s="49"/>
      <c r="U281" s="49"/>
      <c r="V281" s="49"/>
      <c r="W281" s="49"/>
      <c r="X281" s="49"/>
      <c r="Y281" s="49"/>
      <c r="Z281" s="49"/>
    </row>
    <row r="282" spans="1:26" ht="15.5">
      <c r="A282" s="1"/>
      <c r="B282" s="1"/>
      <c r="C282" s="1"/>
      <c r="D282" s="1"/>
      <c r="E282" s="1"/>
      <c r="F282" s="1"/>
      <c r="G282" s="1"/>
      <c r="H282" s="49"/>
      <c r="I282" s="49"/>
      <c r="J282" s="49"/>
      <c r="K282" s="49"/>
      <c r="L282" s="49"/>
      <c r="M282" s="49"/>
      <c r="N282" s="49"/>
      <c r="O282" s="49"/>
      <c r="P282" s="49"/>
      <c r="Q282" s="49"/>
      <c r="R282" s="49"/>
      <c r="S282" s="49"/>
      <c r="T282" s="49"/>
      <c r="U282" s="49"/>
      <c r="V282" s="49"/>
      <c r="W282" s="49"/>
      <c r="X282" s="49"/>
      <c r="Y282" s="49"/>
      <c r="Z282" s="49"/>
    </row>
    <row r="283" spans="1:26" ht="15.5">
      <c r="A283" s="1"/>
      <c r="B283" s="1"/>
      <c r="C283" s="1"/>
      <c r="D283" s="1"/>
      <c r="E283" s="1"/>
      <c r="F283" s="1"/>
      <c r="G283" s="1"/>
      <c r="H283" s="49"/>
      <c r="I283" s="49"/>
      <c r="J283" s="49"/>
      <c r="K283" s="49"/>
      <c r="L283" s="49"/>
      <c r="M283" s="49"/>
      <c r="N283" s="49"/>
      <c r="O283" s="49"/>
      <c r="P283" s="49"/>
      <c r="Q283" s="49"/>
      <c r="R283" s="49"/>
      <c r="S283" s="49"/>
      <c r="T283" s="49"/>
      <c r="U283" s="49"/>
      <c r="V283" s="49"/>
      <c r="W283" s="49"/>
      <c r="X283" s="49"/>
      <c r="Y283" s="49"/>
      <c r="Z283" s="49"/>
    </row>
    <row r="284" spans="1:26" ht="15.5">
      <c r="A284" s="1"/>
      <c r="B284" s="1"/>
      <c r="C284" s="1"/>
      <c r="D284" s="1"/>
      <c r="E284" s="1"/>
      <c r="F284" s="1"/>
      <c r="G284" s="1"/>
      <c r="H284" s="49"/>
      <c r="I284" s="49"/>
      <c r="J284" s="49"/>
      <c r="K284" s="49"/>
      <c r="L284" s="49"/>
      <c r="M284" s="49"/>
      <c r="N284" s="49"/>
      <c r="O284" s="49"/>
      <c r="P284" s="49"/>
      <c r="Q284" s="49"/>
      <c r="R284" s="49"/>
      <c r="S284" s="49"/>
      <c r="T284" s="49"/>
      <c r="U284" s="49"/>
      <c r="V284" s="49"/>
      <c r="W284" s="49"/>
      <c r="X284" s="49"/>
      <c r="Y284" s="49"/>
      <c r="Z284" s="49"/>
    </row>
    <row r="285" spans="1:26" ht="15.5">
      <c r="A285" s="1"/>
      <c r="B285" s="1"/>
      <c r="C285" s="1"/>
      <c r="D285" s="1"/>
      <c r="E285" s="1"/>
      <c r="F285" s="1"/>
      <c r="G285" s="1"/>
      <c r="H285" s="49"/>
      <c r="I285" s="49"/>
      <c r="J285" s="49"/>
      <c r="K285" s="49"/>
      <c r="L285" s="49"/>
      <c r="M285" s="49"/>
      <c r="N285" s="49"/>
      <c r="O285" s="49"/>
      <c r="P285" s="49"/>
      <c r="Q285" s="49"/>
      <c r="R285" s="49"/>
      <c r="S285" s="49"/>
      <c r="T285" s="49"/>
      <c r="U285" s="49"/>
      <c r="V285" s="49"/>
      <c r="W285" s="49"/>
      <c r="X285" s="49"/>
      <c r="Y285" s="49"/>
      <c r="Z285" s="49"/>
    </row>
    <row r="286" spans="1:26" ht="15.5">
      <c r="A286" s="1"/>
      <c r="B286" s="1"/>
      <c r="C286" s="1"/>
      <c r="D286" s="1"/>
      <c r="E286" s="1"/>
      <c r="F286" s="1"/>
      <c r="G286" s="1"/>
      <c r="H286" s="49"/>
      <c r="I286" s="49"/>
      <c r="J286" s="49"/>
      <c r="K286" s="49"/>
      <c r="L286" s="49"/>
      <c r="M286" s="49"/>
      <c r="N286" s="49"/>
      <c r="O286" s="49"/>
      <c r="P286" s="49"/>
      <c r="Q286" s="49"/>
      <c r="R286" s="49"/>
      <c r="S286" s="49"/>
      <c r="T286" s="49"/>
      <c r="U286" s="49"/>
      <c r="V286" s="49"/>
      <c r="W286" s="49"/>
      <c r="X286" s="49"/>
      <c r="Y286" s="49"/>
      <c r="Z286" s="49"/>
    </row>
    <row r="287" spans="1:26" ht="15.5">
      <c r="A287" s="1"/>
      <c r="B287" s="1"/>
      <c r="C287" s="1"/>
      <c r="D287" s="1"/>
      <c r="E287" s="1"/>
      <c r="F287" s="1"/>
      <c r="G287" s="1"/>
      <c r="H287" s="49"/>
      <c r="I287" s="49"/>
      <c r="J287" s="49"/>
      <c r="K287" s="49"/>
      <c r="L287" s="49"/>
      <c r="M287" s="49"/>
      <c r="N287" s="49"/>
      <c r="O287" s="49"/>
      <c r="P287" s="49"/>
      <c r="Q287" s="49"/>
      <c r="R287" s="49"/>
      <c r="S287" s="49"/>
      <c r="T287" s="49"/>
      <c r="U287" s="49"/>
      <c r="V287" s="49"/>
      <c r="W287" s="49"/>
      <c r="X287" s="49"/>
      <c r="Y287" s="49"/>
      <c r="Z287" s="49"/>
    </row>
    <row r="288" spans="1:26" ht="15.5">
      <c r="A288" s="1"/>
      <c r="B288" s="1"/>
      <c r="C288" s="1"/>
      <c r="D288" s="1"/>
      <c r="E288" s="1"/>
      <c r="F288" s="1"/>
      <c r="G288" s="1"/>
      <c r="H288" s="49"/>
      <c r="I288" s="49"/>
      <c r="J288" s="49"/>
      <c r="K288" s="49"/>
      <c r="L288" s="49"/>
      <c r="M288" s="49"/>
      <c r="N288" s="49"/>
      <c r="O288" s="49"/>
      <c r="P288" s="49"/>
      <c r="Q288" s="49"/>
      <c r="R288" s="49"/>
      <c r="S288" s="49"/>
      <c r="T288" s="49"/>
      <c r="U288" s="49"/>
      <c r="V288" s="49"/>
      <c r="W288" s="49"/>
      <c r="X288" s="49"/>
      <c r="Y288" s="49"/>
      <c r="Z288" s="49"/>
    </row>
    <row r="289" spans="1:26" ht="15.5">
      <c r="A289" s="1"/>
      <c r="B289" s="1"/>
      <c r="C289" s="1"/>
      <c r="D289" s="1"/>
      <c r="E289" s="1"/>
      <c r="F289" s="1"/>
      <c r="G289" s="1"/>
      <c r="H289" s="49"/>
      <c r="I289" s="49"/>
      <c r="J289" s="49"/>
      <c r="K289" s="49"/>
      <c r="L289" s="49"/>
      <c r="M289" s="49"/>
      <c r="N289" s="49"/>
      <c r="O289" s="49"/>
      <c r="P289" s="49"/>
      <c r="Q289" s="49"/>
      <c r="R289" s="49"/>
      <c r="S289" s="49"/>
      <c r="T289" s="49"/>
      <c r="U289" s="49"/>
      <c r="V289" s="49"/>
      <c r="W289" s="49"/>
      <c r="X289" s="49"/>
      <c r="Y289" s="49"/>
      <c r="Z289" s="49"/>
    </row>
    <row r="290" spans="1:26" ht="15.5">
      <c r="A290" s="1"/>
      <c r="B290" s="1"/>
      <c r="C290" s="1"/>
      <c r="D290" s="1"/>
      <c r="E290" s="1"/>
      <c r="F290" s="1"/>
      <c r="G290" s="1"/>
      <c r="H290" s="49"/>
      <c r="I290" s="49"/>
      <c r="J290" s="49"/>
      <c r="K290" s="49"/>
      <c r="L290" s="49"/>
      <c r="M290" s="49"/>
      <c r="N290" s="49"/>
      <c r="O290" s="49"/>
      <c r="P290" s="49"/>
      <c r="Q290" s="49"/>
      <c r="R290" s="49"/>
      <c r="S290" s="49"/>
      <c r="T290" s="49"/>
      <c r="U290" s="49"/>
      <c r="V290" s="49"/>
      <c r="W290" s="49"/>
      <c r="X290" s="49"/>
      <c r="Y290" s="49"/>
      <c r="Z290" s="49"/>
    </row>
    <row r="291" spans="1:26" ht="15.5">
      <c r="A291" s="1"/>
      <c r="B291" s="1"/>
      <c r="C291" s="1"/>
      <c r="D291" s="1"/>
      <c r="E291" s="1"/>
      <c r="F291" s="1"/>
      <c r="G291" s="1"/>
      <c r="H291" s="49"/>
      <c r="I291" s="49"/>
      <c r="J291" s="49"/>
      <c r="K291" s="49"/>
      <c r="L291" s="49"/>
      <c r="M291" s="49"/>
      <c r="N291" s="49"/>
      <c r="O291" s="49"/>
      <c r="P291" s="49"/>
      <c r="Q291" s="49"/>
      <c r="R291" s="49"/>
      <c r="S291" s="49"/>
      <c r="T291" s="49"/>
      <c r="U291" s="49"/>
      <c r="V291" s="49"/>
      <c r="W291" s="49"/>
      <c r="X291" s="49"/>
      <c r="Y291" s="49"/>
      <c r="Z291" s="49"/>
    </row>
    <row r="292" spans="1:26" ht="15.5">
      <c r="A292" s="1"/>
      <c r="B292" s="1"/>
      <c r="C292" s="1"/>
      <c r="D292" s="1"/>
      <c r="E292" s="1"/>
      <c r="F292" s="1"/>
      <c r="G292" s="1"/>
      <c r="H292" s="49"/>
      <c r="I292" s="49"/>
      <c r="J292" s="49"/>
      <c r="K292" s="49"/>
      <c r="L292" s="49"/>
      <c r="M292" s="49"/>
      <c r="N292" s="49"/>
      <c r="O292" s="49"/>
      <c r="P292" s="49"/>
      <c r="Q292" s="49"/>
      <c r="R292" s="49"/>
      <c r="S292" s="49"/>
      <c r="T292" s="49"/>
      <c r="U292" s="49"/>
      <c r="V292" s="49"/>
      <c r="W292" s="49"/>
      <c r="X292" s="49"/>
      <c r="Y292" s="49"/>
      <c r="Z292" s="49"/>
    </row>
    <row r="293" spans="1:26" ht="15.5">
      <c r="A293" s="1"/>
      <c r="B293" s="1"/>
      <c r="C293" s="1"/>
      <c r="D293" s="1"/>
      <c r="E293" s="1"/>
      <c r="F293" s="1"/>
      <c r="G293" s="1"/>
      <c r="H293" s="49"/>
      <c r="I293" s="49"/>
      <c r="J293" s="49"/>
      <c r="K293" s="49"/>
      <c r="L293" s="49"/>
      <c r="M293" s="49"/>
      <c r="N293" s="49"/>
      <c r="O293" s="49"/>
      <c r="P293" s="49"/>
      <c r="Q293" s="49"/>
      <c r="R293" s="49"/>
      <c r="S293" s="49"/>
      <c r="T293" s="49"/>
      <c r="U293" s="49"/>
      <c r="V293" s="49"/>
      <c r="W293" s="49"/>
      <c r="X293" s="49"/>
      <c r="Y293" s="49"/>
      <c r="Z293" s="49"/>
    </row>
    <row r="294" spans="1:26" ht="15.5">
      <c r="A294" s="1"/>
      <c r="B294" s="1"/>
      <c r="C294" s="1"/>
      <c r="D294" s="1"/>
      <c r="E294" s="1"/>
      <c r="F294" s="1"/>
      <c r="G294" s="1"/>
      <c r="H294" s="49"/>
      <c r="I294" s="49"/>
      <c r="J294" s="49"/>
      <c r="K294" s="49"/>
      <c r="L294" s="49"/>
      <c r="M294" s="49"/>
      <c r="N294" s="49"/>
      <c r="O294" s="49"/>
      <c r="P294" s="49"/>
      <c r="Q294" s="49"/>
      <c r="R294" s="49"/>
      <c r="S294" s="49"/>
      <c r="T294" s="49"/>
      <c r="U294" s="49"/>
      <c r="V294" s="49"/>
      <c r="W294" s="49"/>
      <c r="X294" s="49"/>
      <c r="Y294" s="49"/>
      <c r="Z294" s="49"/>
    </row>
    <row r="295" spans="1:26" ht="15.5">
      <c r="A295" s="1"/>
      <c r="B295" s="1"/>
      <c r="C295" s="1"/>
      <c r="D295" s="1"/>
      <c r="E295" s="1"/>
      <c r="F295" s="1"/>
      <c r="G295" s="1"/>
      <c r="H295" s="49"/>
      <c r="I295" s="49"/>
      <c r="J295" s="49"/>
      <c r="K295" s="49"/>
      <c r="L295" s="49"/>
      <c r="M295" s="49"/>
      <c r="N295" s="49"/>
      <c r="O295" s="49"/>
      <c r="P295" s="49"/>
      <c r="Q295" s="49"/>
      <c r="R295" s="49"/>
      <c r="S295" s="49"/>
      <c r="T295" s="49"/>
      <c r="U295" s="49"/>
      <c r="V295" s="49"/>
      <c r="W295" s="49"/>
      <c r="X295" s="49"/>
      <c r="Y295" s="49"/>
      <c r="Z295" s="49"/>
    </row>
    <row r="296" spans="1:26" ht="15.5">
      <c r="A296" s="1"/>
      <c r="B296" s="1"/>
      <c r="C296" s="1"/>
      <c r="D296" s="1"/>
      <c r="E296" s="1"/>
      <c r="F296" s="1"/>
      <c r="G296" s="1"/>
      <c r="H296" s="49"/>
      <c r="I296" s="49"/>
      <c r="J296" s="49"/>
      <c r="K296" s="49"/>
      <c r="L296" s="49"/>
      <c r="M296" s="49"/>
      <c r="N296" s="49"/>
      <c r="O296" s="49"/>
      <c r="P296" s="49"/>
      <c r="Q296" s="49"/>
      <c r="R296" s="49"/>
      <c r="S296" s="49"/>
      <c r="T296" s="49"/>
      <c r="U296" s="49"/>
      <c r="V296" s="49"/>
      <c r="W296" s="49"/>
      <c r="X296" s="49"/>
      <c r="Y296" s="49"/>
      <c r="Z296" s="49"/>
    </row>
    <row r="297" spans="1:26" ht="15.5">
      <c r="A297" s="1"/>
      <c r="B297" s="1"/>
      <c r="C297" s="1"/>
      <c r="D297" s="1"/>
      <c r="E297" s="1"/>
      <c r="F297" s="1"/>
      <c r="G297" s="1"/>
      <c r="H297" s="49"/>
      <c r="I297" s="49"/>
      <c r="J297" s="49"/>
      <c r="K297" s="49"/>
      <c r="L297" s="49"/>
      <c r="M297" s="49"/>
      <c r="N297" s="49"/>
      <c r="O297" s="49"/>
      <c r="P297" s="49"/>
      <c r="Q297" s="49"/>
      <c r="R297" s="49"/>
      <c r="S297" s="49"/>
      <c r="T297" s="49"/>
      <c r="U297" s="49"/>
      <c r="V297" s="49"/>
      <c r="W297" s="49"/>
      <c r="X297" s="49"/>
      <c r="Y297" s="49"/>
      <c r="Z297" s="49"/>
    </row>
    <row r="298" spans="1:26" ht="15.5">
      <c r="A298" s="1"/>
      <c r="B298" s="1"/>
      <c r="C298" s="1"/>
      <c r="D298" s="1"/>
      <c r="E298" s="1"/>
      <c r="F298" s="1"/>
      <c r="G298" s="1"/>
      <c r="H298" s="49"/>
      <c r="I298" s="49"/>
      <c r="J298" s="49"/>
      <c r="K298" s="49"/>
      <c r="L298" s="49"/>
      <c r="M298" s="49"/>
      <c r="N298" s="49"/>
      <c r="O298" s="49"/>
      <c r="P298" s="49"/>
      <c r="Q298" s="49"/>
      <c r="R298" s="49"/>
      <c r="S298" s="49"/>
      <c r="T298" s="49"/>
      <c r="U298" s="49"/>
      <c r="V298" s="49"/>
      <c r="W298" s="49"/>
      <c r="X298" s="49"/>
      <c r="Y298" s="49"/>
      <c r="Z298" s="49"/>
    </row>
    <row r="299" spans="1:26" ht="15.5">
      <c r="A299" s="1"/>
      <c r="B299" s="1"/>
      <c r="C299" s="1"/>
      <c r="D299" s="1"/>
      <c r="E299" s="1"/>
      <c r="F299" s="1"/>
      <c r="G299" s="1"/>
      <c r="H299" s="49"/>
      <c r="I299" s="49"/>
      <c r="J299" s="49"/>
      <c r="K299" s="49"/>
      <c r="L299" s="49"/>
      <c r="M299" s="49"/>
      <c r="N299" s="49"/>
      <c r="O299" s="49"/>
      <c r="P299" s="49"/>
      <c r="Q299" s="49"/>
      <c r="R299" s="49"/>
      <c r="S299" s="49"/>
      <c r="T299" s="49"/>
      <c r="U299" s="49"/>
      <c r="V299" s="49"/>
      <c r="W299" s="49"/>
      <c r="X299" s="49"/>
      <c r="Y299" s="49"/>
      <c r="Z299" s="49"/>
    </row>
    <row r="300" spans="1:26" ht="15.5">
      <c r="A300" s="1"/>
      <c r="B300" s="1"/>
      <c r="C300" s="1"/>
      <c r="D300" s="1"/>
      <c r="E300" s="1"/>
      <c r="F300" s="1"/>
      <c r="G300" s="1"/>
      <c r="H300" s="49"/>
      <c r="I300" s="49"/>
      <c r="J300" s="49"/>
      <c r="K300" s="49"/>
      <c r="L300" s="49"/>
      <c r="M300" s="49"/>
      <c r="N300" s="49"/>
      <c r="O300" s="49"/>
      <c r="P300" s="49"/>
      <c r="Q300" s="49"/>
      <c r="R300" s="49"/>
      <c r="S300" s="49"/>
      <c r="T300" s="49"/>
      <c r="U300" s="49"/>
      <c r="V300" s="49"/>
      <c r="W300" s="49"/>
      <c r="X300" s="49"/>
      <c r="Y300" s="49"/>
      <c r="Z300" s="49"/>
    </row>
    <row r="301" spans="1:26" ht="15.5">
      <c r="A301" s="1"/>
      <c r="B301" s="1"/>
      <c r="C301" s="1"/>
      <c r="D301" s="1"/>
      <c r="E301" s="1"/>
      <c r="F301" s="1"/>
      <c r="G301" s="1"/>
      <c r="H301" s="49"/>
      <c r="I301" s="49"/>
      <c r="J301" s="49"/>
      <c r="K301" s="49"/>
      <c r="L301" s="49"/>
      <c r="M301" s="49"/>
      <c r="N301" s="49"/>
      <c r="O301" s="49"/>
      <c r="P301" s="49"/>
      <c r="Q301" s="49"/>
      <c r="R301" s="49"/>
      <c r="S301" s="49"/>
      <c r="T301" s="49"/>
      <c r="U301" s="49"/>
      <c r="V301" s="49"/>
      <c r="W301" s="49"/>
      <c r="X301" s="49"/>
      <c r="Y301" s="49"/>
      <c r="Z301" s="49"/>
    </row>
    <row r="302" spans="1:26" ht="15.5">
      <c r="A302" s="1"/>
      <c r="B302" s="1"/>
      <c r="C302" s="1"/>
      <c r="D302" s="1"/>
      <c r="E302" s="1"/>
      <c r="F302" s="1"/>
      <c r="G302" s="1"/>
      <c r="H302" s="49"/>
      <c r="I302" s="49"/>
      <c r="J302" s="49"/>
      <c r="K302" s="49"/>
      <c r="L302" s="49"/>
      <c r="M302" s="49"/>
      <c r="N302" s="49"/>
      <c r="O302" s="49"/>
      <c r="P302" s="49"/>
      <c r="Q302" s="49"/>
      <c r="R302" s="49"/>
      <c r="S302" s="49"/>
      <c r="T302" s="49"/>
      <c r="U302" s="49"/>
      <c r="V302" s="49"/>
      <c r="W302" s="49"/>
      <c r="X302" s="49"/>
      <c r="Y302" s="49"/>
      <c r="Z302" s="49"/>
    </row>
    <row r="303" spans="1:26" ht="15.5">
      <c r="A303" s="1"/>
      <c r="B303" s="1"/>
      <c r="C303" s="1"/>
      <c r="D303" s="1"/>
      <c r="E303" s="1"/>
      <c r="F303" s="1"/>
      <c r="G303" s="1"/>
      <c r="H303" s="49"/>
      <c r="I303" s="49"/>
      <c r="J303" s="49"/>
      <c r="K303" s="49"/>
      <c r="L303" s="49"/>
      <c r="M303" s="49"/>
      <c r="N303" s="49"/>
      <c r="O303" s="49"/>
      <c r="P303" s="49"/>
      <c r="Q303" s="49"/>
      <c r="R303" s="49"/>
      <c r="S303" s="49"/>
      <c r="T303" s="49"/>
      <c r="U303" s="49"/>
      <c r="V303" s="49"/>
      <c r="W303" s="49"/>
      <c r="X303" s="49"/>
      <c r="Y303" s="49"/>
      <c r="Z303" s="49"/>
    </row>
    <row r="304" spans="1:26" ht="15.5">
      <c r="A304" s="1"/>
      <c r="B304" s="1"/>
      <c r="C304" s="1"/>
      <c r="D304" s="1"/>
      <c r="E304" s="1"/>
      <c r="F304" s="1"/>
      <c r="G304" s="1"/>
      <c r="H304" s="49"/>
      <c r="I304" s="49"/>
      <c r="J304" s="49"/>
      <c r="K304" s="49"/>
      <c r="L304" s="49"/>
      <c r="M304" s="49"/>
      <c r="N304" s="49"/>
      <c r="O304" s="49"/>
      <c r="P304" s="49"/>
      <c r="Q304" s="49"/>
      <c r="R304" s="49"/>
      <c r="S304" s="49"/>
      <c r="T304" s="49"/>
      <c r="U304" s="49"/>
      <c r="V304" s="49"/>
      <c r="W304" s="49"/>
      <c r="X304" s="49"/>
      <c r="Y304" s="49"/>
      <c r="Z304" s="49"/>
    </row>
    <row r="305" spans="1:26" ht="15.5">
      <c r="A305" s="1"/>
      <c r="B305" s="1"/>
      <c r="C305" s="1"/>
      <c r="D305" s="1"/>
      <c r="E305" s="1"/>
      <c r="F305" s="1"/>
      <c r="G305" s="1"/>
      <c r="H305" s="49"/>
      <c r="I305" s="49"/>
      <c r="J305" s="49"/>
      <c r="K305" s="49"/>
      <c r="L305" s="49"/>
      <c r="M305" s="49"/>
      <c r="N305" s="49"/>
      <c r="O305" s="49"/>
      <c r="P305" s="49"/>
      <c r="Q305" s="49"/>
      <c r="R305" s="49"/>
      <c r="S305" s="49"/>
      <c r="T305" s="49"/>
      <c r="U305" s="49"/>
      <c r="V305" s="49"/>
      <c r="W305" s="49"/>
      <c r="X305" s="49"/>
      <c r="Y305" s="49"/>
      <c r="Z305" s="49"/>
    </row>
    <row r="306" spans="1:26" ht="15.5">
      <c r="A306" s="1"/>
      <c r="B306" s="1"/>
      <c r="C306" s="1"/>
      <c r="D306" s="1"/>
      <c r="E306" s="1"/>
      <c r="F306" s="1"/>
      <c r="G306" s="1"/>
      <c r="H306" s="49"/>
      <c r="I306" s="49"/>
      <c r="J306" s="49"/>
      <c r="K306" s="49"/>
      <c r="L306" s="49"/>
      <c r="M306" s="49"/>
      <c r="N306" s="49"/>
      <c r="O306" s="49"/>
      <c r="P306" s="49"/>
      <c r="Q306" s="49"/>
      <c r="R306" s="49"/>
      <c r="S306" s="49"/>
      <c r="T306" s="49"/>
      <c r="U306" s="49"/>
      <c r="V306" s="49"/>
      <c r="W306" s="49"/>
      <c r="X306" s="49"/>
      <c r="Y306" s="49"/>
      <c r="Z306" s="49"/>
    </row>
    <row r="307" spans="1:26" ht="15.5">
      <c r="A307" s="1"/>
      <c r="B307" s="1"/>
      <c r="C307" s="1"/>
      <c r="D307" s="1"/>
      <c r="E307" s="1"/>
      <c r="F307" s="1"/>
      <c r="G307" s="1"/>
      <c r="H307" s="49"/>
      <c r="I307" s="49"/>
      <c r="J307" s="49"/>
      <c r="K307" s="49"/>
      <c r="L307" s="49"/>
      <c r="M307" s="49"/>
      <c r="N307" s="49"/>
      <c r="O307" s="49"/>
      <c r="P307" s="49"/>
      <c r="Q307" s="49"/>
      <c r="R307" s="49"/>
      <c r="S307" s="49"/>
      <c r="T307" s="49"/>
      <c r="U307" s="49"/>
      <c r="V307" s="49"/>
      <c r="W307" s="49"/>
      <c r="X307" s="49"/>
      <c r="Y307" s="49"/>
      <c r="Z307" s="49"/>
    </row>
    <row r="308" spans="1:26" ht="15.5">
      <c r="A308" s="1"/>
      <c r="B308" s="1"/>
      <c r="C308" s="1"/>
      <c r="D308" s="1"/>
      <c r="E308" s="1"/>
      <c r="F308" s="1"/>
      <c r="G308" s="1"/>
      <c r="H308" s="49"/>
      <c r="I308" s="49"/>
      <c r="J308" s="49"/>
      <c r="K308" s="49"/>
      <c r="L308" s="49"/>
      <c r="M308" s="49"/>
      <c r="N308" s="49"/>
      <c r="O308" s="49"/>
      <c r="P308" s="49"/>
      <c r="Q308" s="49"/>
      <c r="R308" s="49"/>
      <c r="S308" s="49"/>
      <c r="T308" s="49"/>
      <c r="U308" s="49"/>
      <c r="V308" s="49"/>
      <c r="W308" s="49"/>
      <c r="X308" s="49"/>
      <c r="Y308" s="49"/>
      <c r="Z308" s="49"/>
    </row>
    <row r="309" spans="1:26" ht="15.5">
      <c r="A309" s="1"/>
      <c r="B309" s="1"/>
      <c r="C309" s="1"/>
      <c r="D309" s="1"/>
      <c r="E309" s="1"/>
      <c r="F309" s="1"/>
      <c r="G309" s="1"/>
      <c r="H309" s="49"/>
      <c r="I309" s="49"/>
      <c r="J309" s="49"/>
      <c r="K309" s="49"/>
      <c r="L309" s="49"/>
      <c r="M309" s="49"/>
      <c r="N309" s="49"/>
      <c r="O309" s="49"/>
      <c r="P309" s="49"/>
      <c r="Q309" s="49"/>
      <c r="R309" s="49"/>
      <c r="S309" s="49"/>
      <c r="T309" s="49"/>
      <c r="U309" s="49"/>
      <c r="V309" s="49"/>
      <c r="W309" s="49"/>
      <c r="X309" s="49"/>
      <c r="Y309" s="49"/>
      <c r="Z309" s="49"/>
    </row>
    <row r="310" spans="1:26" ht="15.5">
      <c r="A310" s="1"/>
      <c r="B310" s="1"/>
      <c r="C310" s="1"/>
      <c r="D310" s="1"/>
      <c r="E310" s="1"/>
      <c r="F310" s="1"/>
      <c r="G310" s="1"/>
      <c r="H310" s="49"/>
      <c r="I310" s="49"/>
      <c r="J310" s="49"/>
      <c r="K310" s="49"/>
      <c r="L310" s="49"/>
      <c r="M310" s="49"/>
      <c r="N310" s="49"/>
      <c r="O310" s="49"/>
      <c r="P310" s="49"/>
      <c r="Q310" s="49"/>
      <c r="R310" s="49"/>
      <c r="S310" s="49"/>
      <c r="T310" s="49"/>
      <c r="U310" s="49"/>
      <c r="V310" s="49"/>
      <c r="W310" s="49"/>
      <c r="X310" s="49"/>
      <c r="Y310" s="49"/>
      <c r="Z310" s="49"/>
    </row>
    <row r="311" spans="1:26" ht="15.5">
      <c r="A311" s="1"/>
      <c r="B311" s="1"/>
      <c r="C311" s="1"/>
      <c r="D311" s="1"/>
      <c r="E311" s="1"/>
      <c r="F311" s="1"/>
      <c r="G311" s="1"/>
      <c r="H311" s="49"/>
      <c r="I311" s="49"/>
      <c r="J311" s="49"/>
      <c r="K311" s="49"/>
      <c r="L311" s="49"/>
      <c r="M311" s="49"/>
      <c r="N311" s="49"/>
      <c r="O311" s="49"/>
      <c r="P311" s="49"/>
      <c r="Q311" s="49"/>
      <c r="R311" s="49"/>
      <c r="S311" s="49"/>
      <c r="T311" s="49"/>
      <c r="U311" s="49"/>
      <c r="V311" s="49"/>
      <c r="W311" s="49"/>
      <c r="X311" s="49"/>
      <c r="Y311" s="49"/>
      <c r="Z311" s="49"/>
    </row>
    <row r="312" spans="1:26" ht="15.5">
      <c r="A312" s="1"/>
      <c r="B312" s="1"/>
      <c r="C312" s="1"/>
      <c r="D312" s="1"/>
      <c r="E312" s="1"/>
      <c r="F312" s="1"/>
      <c r="G312" s="1"/>
      <c r="H312" s="49"/>
      <c r="I312" s="49"/>
      <c r="J312" s="49"/>
      <c r="K312" s="49"/>
      <c r="L312" s="49"/>
      <c r="M312" s="49"/>
      <c r="N312" s="49"/>
      <c r="O312" s="49"/>
      <c r="P312" s="49"/>
      <c r="Q312" s="49"/>
      <c r="R312" s="49"/>
      <c r="S312" s="49"/>
      <c r="T312" s="49"/>
      <c r="U312" s="49"/>
      <c r="V312" s="49"/>
      <c r="W312" s="49"/>
      <c r="X312" s="49"/>
      <c r="Y312" s="49"/>
      <c r="Z312" s="49"/>
    </row>
    <row r="313" spans="1:26" ht="15.5">
      <c r="A313" s="1"/>
      <c r="B313" s="1"/>
      <c r="C313" s="1"/>
      <c r="D313" s="1"/>
      <c r="E313" s="1"/>
      <c r="F313" s="1"/>
      <c r="G313" s="1"/>
      <c r="H313" s="49"/>
      <c r="I313" s="49"/>
      <c r="J313" s="49"/>
      <c r="K313" s="49"/>
      <c r="L313" s="49"/>
      <c r="M313" s="49"/>
      <c r="N313" s="49"/>
      <c r="O313" s="49"/>
      <c r="P313" s="49"/>
      <c r="Q313" s="49"/>
      <c r="R313" s="49"/>
      <c r="S313" s="49"/>
      <c r="T313" s="49"/>
      <c r="U313" s="49"/>
      <c r="V313" s="49"/>
      <c r="W313" s="49"/>
      <c r="X313" s="49"/>
      <c r="Y313" s="49"/>
      <c r="Z313" s="49"/>
    </row>
    <row r="314" spans="1:26" ht="15.5">
      <c r="A314" s="1"/>
      <c r="B314" s="1"/>
      <c r="C314" s="1"/>
      <c r="D314" s="1"/>
      <c r="E314" s="1"/>
      <c r="F314" s="1"/>
      <c r="G314" s="1"/>
      <c r="H314" s="49"/>
      <c r="I314" s="49"/>
      <c r="J314" s="49"/>
      <c r="K314" s="49"/>
      <c r="L314" s="49"/>
      <c r="M314" s="49"/>
      <c r="N314" s="49"/>
      <c r="O314" s="49"/>
      <c r="P314" s="49"/>
      <c r="Q314" s="49"/>
      <c r="R314" s="49"/>
      <c r="S314" s="49"/>
      <c r="T314" s="49"/>
      <c r="U314" s="49"/>
      <c r="V314" s="49"/>
      <c r="W314" s="49"/>
      <c r="X314" s="49"/>
      <c r="Y314" s="49"/>
      <c r="Z314" s="49"/>
    </row>
    <row r="315" spans="1:26" ht="15.5">
      <c r="A315" s="1"/>
      <c r="B315" s="1"/>
      <c r="C315" s="1"/>
      <c r="D315" s="1"/>
      <c r="E315" s="1"/>
      <c r="F315" s="1"/>
      <c r="G315" s="1"/>
      <c r="H315" s="49"/>
      <c r="I315" s="49"/>
      <c r="J315" s="49"/>
      <c r="K315" s="49"/>
      <c r="L315" s="49"/>
      <c r="M315" s="49"/>
      <c r="N315" s="49"/>
      <c r="O315" s="49"/>
      <c r="P315" s="49"/>
      <c r="Q315" s="49"/>
      <c r="R315" s="49"/>
      <c r="S315" s="49"/>
      <c r="T315" s="49"/>
      <c r="U315" s="49"/>
      <c r="V315" s="49"/>
      <c r="W315" s="49"/>
      <c r="X315" s="49"/>
      <c r="Y315" s="49"/>
      <c r="Z315" s="49"/>
    </row>
    <row r="316" spans="1:26" ht="15.5">
      <c r="A316" s="1"/>
      <c r="B316" s="1"/>
      <c r="C316" s="1"/>
      <c r="D316" s="1"/>
      <c r="E316" s="1"/>
      <c r="F316" s="1"/>
      <c r="G316" s="1"/>
      <c r="H316" s="49"/>
      <c r="I316" s="49"/>
      <c r="J316" s="49"/>
      <c r="K316" s="49"/>
      <c r="L316" s="49"/>
      <c r="M316" s="49"/>
      <c r="N316" s="49"/>
      <c r="O316" s="49"/>
      <c r="P316" s="49"/>
      <c r="Q316" s="49"/>
      <c r="R316" s="49"/>
      <c r="S316" s="49"/>
      <c r="T316" s="49"/>
      <c r="U316" s="49"/>
      <c r="V316" s="49"/>
      <c r="W316" s="49"/>
      <c r="X316" s="49"/>
      <c r="Y316" s="49"/>
      <c r="Z316" s="49"/>
    </row>
    <row r="317" spans="1:26" ht="15.5">
      <c r="A317" s="1"/>
      <c r="B317" s="1"/>
      <c r="C317" s="1"/>
      <c r="D317" s="1"/>
      <c r="E317" s="1"/>
      <c r="F317" s="1"/>
      <c r="G317" s="1"/>
      <c r="H317" s="49"/>
      <c r="I317" s="49"/>
      <c r="J317" s="49"/>
      <c r="K317" s="49"/>
      <c r="L317" s="49"/>
      <c r="M317" s="49"/>
      <c r="N317" s="49"/>
      <c r="O317" s="49"/>
      <c r="P317" s="49"/>
      <c r="Q317" s="49"/>
      <c r="R317" s="49"/>
      <c r="S317" s="49"/>
      <c r="T317" s="49"/>
      <c r="U317" s="49"/>
      <c r="V317" s="49"/>
      <c r="W317" s="49"/>
      <c r="X317" s="49"/>
      <c r="Y317" s="49"/>
      <c r="Z317" s="49"/>
    </row>
    <row r="318" spans="1:26" ht="15.5">
      <c r="A318" s="1"/>
      <c r="B318" s="1"/>
      <c r="C318" s="1"/>
      <c r="D318" s="1"/>
      <c r="E318" s="1"/>
      <c r="F318" s="1"/>
      <c r="G318" s="1"/>
      <c r="H318" s="49"/>
      <c r="I318" s="49"/>
      <c r="J318" s="49"/>
      <c r="K318" s="49"/>
      <c r="L318" s="49"/>
      <c r="M318" s="49"/>
      <c r="N318" s="49"/>
      <c r="O318" s="49"/>
      <c r="P318" s="49"/>
      <c r="Q318" s="49"/>
      <c r="R318" s="49"/>
      <c r="S318" s="49"/>
      <c r="T318" s="49"/>
      <c r="U318" s="49"/>
      <c r="V318" s="49"/>
      <c r="W318" s="49"/>
      <c r="X318" s="49"/>
      <c r="Y318" s="49"/>
      <c r="Z318" s="49"/>
    </row>
    <row r="319" spans="1:26" ht="15.5">
      <c r="A319" s="1"/>
      <c r="B319" s="1"/>
      <c r="C319" s="1"/>
      <c r="D319" s="1"/>
      <c r="E319" s="1"/>
      <c r="F319" s="1"/>
      <c r="G319" s="1"/>
      <c r="H319" s="49"/>
      <c r="I319" s="49"/>
      <c r="J319" s="49"/>
      <c r="K319" s="49"/>
      <c r="L319" s="49"/>
      <c r="M319" s="49"/>
      <c r="N319" s="49"/>
      <c r="O319" s="49"/>
      <c r="P319" s="49"/>
      <c r="Q319" s="49"/>
      <c r="R319" s="49"/>
      <c r="S319" s="49"/>
      <c r="T319" s="49"/>
      <c r="U319" s="49"/>
      <c r="V319" s="49"/>
      <c r="W319" s="49"/>
      <c r="X319" s="49"/>
      <c r="Y319" s="49"/>
      <c r="Z319" s="49"/>
    </row>
    <row r="320" spans="1:26" ht="15.5">
      <c r="A320" s="1"/>
      <c r="B320" s="1"/>
      <c r="C320" s="1"/>
      <c r="D320" s="1"/>
      <c r="E320" s="1"/>
      <c r="F320" s="1"/>
      <c r="G320" s="1"/>
      <c r="H320" s="49"/>
      <c r="I320" s="49"/>
      <c r="J320" s="49"/>
      <c r="K320" s="49"/>
      <c r="L320" s="49"/>
      <c r="M320" s="49"/>
      <c r="N320" s="49"/>
      <c r="O320" s="49"/>
      <c r="P320" s="49"/>
      <c r="Q320" s="49"/>
      <c r="R320" s="49"/>
      <c r="S320" s="49"/>
      <c r="T320" s="49"/>
      <c r="U320" s="49"/>
      <c r="V320" s="49"/>
      <c r="W320" s="49"/>
      <c r="X320" s="49"/>
      <c r="Y320" s="49"/>
      <c r="Z320" s="49"/>
    </row>
    <row r="321" spans="1:26" ht="15.5">
      <c r="A321" s="1"/>
      <c r="B321" s="1"/>
      <c r="C321" s="1"/>
      <c r="D321" s="1"/>
      <c r="E321" s="1"/>
      <c r="F321" s="1"/>
      <c r="G321" s="1"/>
      <c r="H321" s="49"/>
      <c r="I321" s="49"/>
      <c r="J321" s="49"/>
      <c r="K321" s="49"/>
      <c r="L321" s="49"/>
      <c r="M321" s="49"/>
      <c r="N321" s="49"/>
      <c r="O321" s="49"/>
      <c r="P321" s="49"/>
      <c r="Q321" s="49"/>
      <c r="R321" s="49"/>
      <c r="S321" s="49"/>
      <c r="T321" s="49"/>
      <c r="U321" s="49"/>
      <c r="V321" s="49"/>
      <c r="W321" s="49"/>
      <c r="X321" s="49"/>
      <c r="Y321" s="49"/>
      <c r="Z321" s="49"/>
    </row>
    <row r="322" spans="1:26" ht="15.5">
      <c r="A322" s="1"/>
      <c r="B322" s="1"/>
      <c r="C322" s="1"/>
      <c r="D322" s="1"/>
      <c r="E322" s="1"/>
      <c r="F322" s="1"/>
      <c r="G322" s="1"/>
      <c r="H322" s="49"/>
      <c r="I322" s="49"/>
      <c r="J322" s="49"/>
      <c r="K322" s="49"/>
      <c r="L322" s="49"/>
      <c r="M322" s="49"/>
      <c r="N322" s="49"/>
      <c r="O322" s="49"/>
      <c r="P322" s="49"/>
      <c r="Q322" s="49"/>
      <c r="R322" s="49"/>
      <c r="S322" s="49"/>
      <c r="T322" s="49"/>
      <c r="U322" s="49"/>
      <c r="V322" s="49"/>
      <c r="W322" s="49"/>
      <c r="X322" s="49"/>
      <c r="Y322" s="49"/>
      <c r="Z322" s="49"/>
    </row>
    <row r="323" spans="1:26" ht="15.5">
      <c r="A323" s="1"/>
      <c r="B323" s="1"/>
      <c r="C323" s="1"/>
      <c r="D323" s="1"/>
      <c r="E323" s="1"/>
      <c r="F323" s="1"/>
      <c r="G323" s="1"/>
      <c r="H323" s="49"/>
      <c r="I323" s="49"/>
      <c r="J323" s="49"/>
      <c r="K323" s="49"/>
      <c r="L323" s="49"/>
      <c r="M323" s="49"/>
      <c r="N323" s="49"/>
      <c r="O323" s="49"/>
      <c r="P323" s="49"/>
      <c r="Q323" s="49"/>
      <c r="R323" s="49"/>
      <c r="S323" s="49"/>
      <c r="T323" s="49"/>
      <c r="U323" s="49"/>
      <c r="V323" s="49"/>
      <c r="W323" s="49"/>
      <c r="X323" s="49"/>
      <c r="Y323" s="49"/>
      <c r="Z323" s="49"/>
    </row>
    <row r="324" spans="1:26" ht="15.5">
      <c r="A324" s="1"/>
      <c r="B324" s="1"/>
      <c r="C324" s="1"/>
      <c r="D324" s="1"/>
      <c r="E324" s="1"/>
      <c r="F324" s="1"/>
      <c r="G324" s="1"/>
      <c r="H324" s="49"/>
      <c r="I324" s="49"/>
      <c r="J324" s="49"/>
      <c r="K324" s="49"/>
      <c r="L324" s="49"/>
      <c r="M324" s="49"/>
      <c r="N324" s="49"/>
      <c r="O324" s="49"/>
      <c r="P324" s="49"/>
      <c r="Q324" s="49"/>
      <c r="R324" s="49"/>
      <c r="S324" s="49"/>
      <c r="T324" s="49"/>
      <c r="U324" s="49"/>
      <c r="V324" s="49"/>
      <c r="W324" s="49"/>
      <c r="X324" s="49"/>
      <c r="Y324" s="49"/>
      <c r="Z324" s="49"/>
    </row>
    <row r="325" spans="1:26" ht="15.5">
      <c r="A325" s="1"/>
      <c r="B325" s="1"/>
      <c r="C325" s="1"/>
      <c r="D325" s="1"/>
      <c r="E325" s="1"/>
      <c r="F325" s="1"/>
      <c r="G325" s="1"/>
      <c r="H325" s="49"/>
      <c r="I325" s="49"/>
      <c r="J325" s="49"/>
      <c r="K325" s="49"/>
      <c r="L325" s="49"/>
      <c r="M325" s="49"/>
      <c r="N325" s="49"/>
      <c r="O325" s="49"/>
      <c r="P325" s="49"/>
      <c r="Q325" s="49"/>
      <c r="R325" s="49"/>
      <c r="S325" s="49"/>
      <c r="T325" s="49"/>
      <c r="U325" s="49"/>
      <c r="V325" s="49"/>
      <c r="W325" s="49"/>
      <c r="X325" s="49"/>
      <c r="Y325" s="49"/>
      <c r="Z325" s="49"/>
    </row>
    <row r="326" spans="1:26" ht="15.5">
      <c r="A326" s="1"/>
      <c r="B326" s="1"/>
      <c r="C326" s="1"/>
      <c r="D326" s="1"/>
      <c r="E326" s="1"/>
      <c r="F326" s="1"/>
      <c r="G326" s="1"/>
      <c r="H326" s="49"/>
      <c r="I326" s="49"/>
      <c r="J326" s="49"/>
      <c r="K326" s="49"/>
      <c r="L326" s="49"/>
      <c r="M326" s="49"/>
      <c r="N326" s="49"/>
      <c r="O326" s="49"/>
      <c r="P326" s="49"/>
      <c r="Q326" s="49"/>
      <c r="R326" s="49"/>
      <c r="S326" s="49"/>
      <c r="T326" s="49"/>
      <c r="U326" s="49"/>
      <c r="V326" s="49"/>
      <c r="W326" s="49"/>
      <c r="X326" s="49"/>
      <c r="Y326" s="49"/>
      <c r="Z326" s="49"/>
    </row>
    <row r="327" spans="1:26" ht="15.5">
      <c r="A327" s="1"/>
      <c r="B327" s="1"/>
      <c r="C327" s="1"/>
      <c r="D327" s="1"/>
      <c r="E327" s="1"/>
      <c r="F327" s="1"/>
      <c r="G327" s="1"/>
      <c r="H327" s="49"/>
      <c r="I327" s="49"/>
      <c r="J327" s="49"/>
      <c r="K327" s="49"/>
      <c r="L327" s="49"/>
      <c r="M327" s="49"/>
      <c r="N327" s="49"/>
      <c r="O327" s="49"/>
      <c r="P327" s="49"/>
      <c r="Q327" s="49"/>
      <c r="R327" s="49"/>
      <c r="S327" s="49"/>
      <c r="T327" s="49"/>
      <c r="U327" s="49"/>
      <c r="V327" s="49"/>
      <c r="W327" s="49"/>
      <c r="X327" s="49"/>
      <c r="Y327" s="49"/>
      <c r="Z327" s="49"/>
    </row>
    <row r="328" spans="1:26" ht="15.5">
      <c r="A328" s="1"/>
      <c r="B328" s="1"/>
      <c r="C328" s="1"/>
      <c r="D328" s="1"/>
      <c r="E328" s="1"/>
      <c r="F328" s="1"/>
      <c r="G328" s="1"/>
      <c r="H328" s="49"/>
      <c r="I328" s="49"/>
      <c r="J328" s="49"/>
      <c r="K328" s="49"/>
      <c r="L328" s="49"/>
      <c r="M328" s="49"/>
      <c r="N328" s="49"/>
      <c r="O328" s="49"/>
      <c r="P328" s="49"/>
      <c r="Q328" s="49"/>
      <c r="R328" s="49"/>
      <c r="S328" s="49"/>
      <c r="T328" s="49"/>
      <c r="U328" s="49"/>
      <c r="V328" s="49"/>
      <c r="W328" s="49"/>
      <c r="X328" s="49"/>
      <c r="Y328" s="49"/>
      <c r="Z328" s="49"/>
    </row>
    <row r="329" spans="1:26" ht="15.5">
      <c r="A329" s="1"/>
      <c r="B329" s="1"/>
      <c r="C329" s="1"/>
      <c r="D329" s="1"/>
      <c r="E329" s="1"/>
      <c r="F329" s="1"/>
      <c r="G329" s="1"/>
      <c r="H329" s="49"/>
      <c r="I329" s="49"/>
      <c r="J329" s="49"/>
      <c r="K329" s="49"/>
      <c r="L329" s="49"/>
      <c r="M329" s="49"/>
      <c r="N329" s="49"/>
      <c r="O329" s="49"/>
      <c r="P329" s="49"/>
      <c r="Q329" s="49"/>
      <c r="R329" s="49"/>
      <c r="S329" s="49"/>
      <c r="T329" s="49"/>
      <c r="U329" s="49"/>
      <c r="V329" s="49"/>
      <c r="W329" s="49"/>
      <c r="X329" s="49"/>
      <c r="Y329" s="49"/>
      <c r="Z329" s="49"/>
    </row>
    <row r="330" spans="1:26" ht="15.5">
      <c r="A330" s="1"/>
      <c r="B330" s="1"/>
      <c r="C330" s="1"/>
      <c r="D330" s="1"/>
      <c r="E330" s="1"/>
      <c r="F330" s="1"/>
      <c r="G330" s="1"/>
      <c r="H330" s="49"/>
      <c r="I330" s="49"/>
      <c r="J330" s="49"/>
      <c r="K330" s="49"/>
      <c r="L330" s="49"/>
      <c r="M330" s="49"/>
      <c r="N330" s="49"/>
      <c r="O330" s="49"/>
      <c r="P330" s="49"/>
      <c r="Q330" s="49"/>
      <c r="R330" s="49"/>
      <c r="S330" s="49"/>
      <c r="T330" s="49"/>
      <c r="U330" s="49"/>
      <c r="V330" s="49"/>
      <c r="W330" s="49"/>
      <c r="X330" s="49"/>
      <c r="Y330" s="49"/>
      <c r="Z330" s="49"/>
    </row>
    <row r="331" spans="1:26" ht="15.5">
      <c r="A331" s="1"/>
      <c r="B331" s="1"/>
      <c r="C331" s="1"/>
      <c r="D331" s="1"/>
      <c r="E331" s="1"/>
      <c r="F331" s="1"/>
      <c r="G331" s="1"/>
      <c r="H331" s="49"/>
      <c r="I331" s="49"/>
      <c r="J331" s="49"/>
      <c r="K331" s="49"/>
      <c r="L331" s="49"/>
      <c r="M331" s="49"/>
      <c r="N331" s="49"/>
      <c r="O331" s="49"/>
      <c r="P331" s="49"/>
      <c r="Q331" s="49"/>
      <c r="R331" s="49"/>
      <c r="S331" s="49"/>
      <c r="T331" s="49"/>
      <c r="U331" s="49"/>
      <c r="V331" s="49"/>
      <c r="W331" s="49"/>
      <c r="X331" s="49"/>
      <c r="Y331" s="49"/>
      <c r="Z331" s="49"/>
    </row>
    <row r="332" spans="1:26" ht="15.5">
      <c r="A332" s="1"/>
      <c r="B332" s="1"/>
      <c r="C332" s="1"/>
      <c r="D332" s="1"/>
      <c r="E332" s="1"/>
      <c r="F332" s="1"/>
      <c r="G332" s="1"/>
      <c r="H332" s="49"/>
      <c r="I332" s="49"/>
      <c r="J332" s="49"/>
      <c r="K332" s="49"/>
      <c r="L332" s="49"/>
      <c r="M332" s="49"/>
      <c r="N332" s="49"/>
      <c r="O332" s="49"/>
      <c r="P332" s="49"/>
      <c r="Q332" s="49"/>
      <c r="R332" s="49"/>
      <c r="S332" s="49"/>
      <c r="T332" s="49"/>
      <c r="U332" s="49"/>
      <c r="V332" s="49"/>
      <c r="W332" s="49"/>
      <c r="X332" s="49"/>
      <c r="Y332" s="49"/>
      <c r="Z332" s="49"/>
    </row>
    <row r="333" spans="1:26" ht="15.5">
      <c r="A333" s="1"/>
      <c r="B333" s="1"/>
      <c r="C333" s="1"/>
      <c r="D333" s="1"/>
      <c r="E333" s="1"/>
      <c r="F333" s="1"/>
      <c r="G333" s="1"/>
      <c r="H333" s="49"/>
      <c r="I333" s="49"/>
      <c r="J333" s="49"/>
      <c r="K333" s="49"/>
      <c r="L333" s="49"/>
      <c r="M333" s="49"/>
      <c r="N333" s="49"/>
      <c r="O333" s="49"/>
      <c r="P333" s="49"/>
      <c r="Q333" s="49"/>
      <c r="R333" s="49"/>
      <c r="S333" s="49"/>
      <c r="T333" s="49"/>
      <c r="U333" s="49"/>
      <c r="V333" s="49"/>
      <c r="W333" s="49"/>
      <c r="X333" s="49"/>
      <c r="Y333" s="49"/>
      <c r="Z333" s="49"/>
    </row>
    <row r="334" spans="1:26" ht="15.5">
      <c r="A334" s="1"/>
      <c r="B334" s="1"/>
      <c r="C334" s="1"/>
      <c r="D334" s="1"/>
      <c r="E334" s="1"/>
      <c r="F334" s="1"/>
      <c r="G334" s="1"/>
      <c r="H334" s="49"/>
      <c r="I334" s="49"/>
      <c r="J334" s="49"/>
      <c r="K334" s="49"/>
      <c r="L334" s="49"/>
      <c r="M334" s="49"/>
      <c r="N334" s="49"/>
      <c r="O334" s="49"/>
      <c r="P334" s="49"/>
      <c r="Q334" s="49"/>
      <c r="R334" s="49"/>
      <c r="S334" s="49"/>
      <c r="T334" s="49"/>
      <c r="U334" s="49"/>
      <c r="V334" s="49"/>
      <c r="W334" s="49"/>
      <c r="X334" s="49"/>
      <c r="Y334" s="49"/>
      <c r="Z334" s="49"/>
    </row>
    <row r="335" spans="1:26" ht="15.5">
      <c r="A335" s="1"/>
      <c r="B335" s="1"/>
      <c r="C335" s="1"/>
      <c r="D335" s="1"/>
      <c r="E335" s="1"/>
      <c r="F335" s="1"/>
      <c r="G335" s="1"/>
      <c r="H335" s="49"/>
      <c r="I335" s="49"/>
      <c r="J335" s="49"/>
      <c r="K335" s="49"/>
      <c r="L335" s="49"/>
      <c r="M335" s="49"/>
      <c r="N335" s="49"/>
      <c r="O335" s="49"/>
      <c r="P335" s="49"/>
      <c r="Q335" s="49"/>
      <c r="R335" s="49"/>
      <c r="S335" s="49"/>
      <c r="T335" s="49"/>
      <c r="U335" s="49"/>
      <c r="V335" s="49"/>
      <c r="W335" s="49"/>
      <c r="X335" s="49"/>
      <c r="Y335" s="49"/>
      <c r="Z335" s="49"/>
    </row>
    <row r="336" spans="1:26" ht="15.5">
      <c r="A336" s="1"/>
      <c r="B336" s="1"/>
      <c r="C336" s="1"/>
      <c r="D336" s="1"/>
      <c r="E336" s="1"/>
      <c r="F336" s="1"/>
      <c r="G336" s="1"/>
      <c r="H336" s="49"/>
      <c r="I336" s="49"/>
      <c r="J336" s="49"/>
      <c r="K336" s="49"/>
      <c r="L336" s="49"/>
      <c r="M336" s="49"/>
      <c r="N336" s="49"/>
      <c r="O336" s="49"/>
      <c r="P336" s="49"/>
      <c r="Q336" s="49"/>
      <c r="R336" s="49"/>
      <c r="S336" s="49"/>
      <c r="T336" s="49"/>
      <c r="U336" s="49"/>
      <c r="V336" s="49"/>
      <c r="W336" s="49"/>
      <c r="X336" s="49"/>
      <c r="Y336" s="49"/>
      <c r="Z336" s="49"/>
    </row>
    <row r="337" spans="1:26" ht="15.5">
      <c r="A337" s="1"/>
      <c r="B337" s="1"/>
      <c r="C337" s="1"/>
      <c r="D337" s="1"/>
      <c r="E337" s="1"/>
      <c r="F337" s="1"/>
      <c r="G337" s="1"/>
      <c r="H337" s="49"/>
      <c r="I337" s="49"/>
      <c r="J337" s="49"/>
      <c r="K337" s="49"/>
      <c r="L337" s="49"/>
      <c r="M337" s="49"/>
      <c r="N337" s="49"/>
      <c r="O337" s="49"/>
      <c r="P337" s="49"/>
      <c r="Q337" s="49"/>
      <c r="R337" s="49"/>
      <c r="S337" s="49"/>
      <c r="T337" s="49"/>
      <c r="U337" s="49"/>
      <c r="V337" s="49"/>
      <c r="W337" s="49"/>
      <c r="X337" s="49"/>
      <c r="Y337" s="49"/>
      <c r="Z337" s="49"/>
    </row>
    <row r="338" spans="1:26" ht="15.5">
      <c r="A338" s="1"/>
      <c r="B338" s="1"/>
      <c r="C338" s="1"/>
      <c r="D338" s="1"/>
      <c r="E338" s="1"/>
      <c r="F338" s="1"/>
      <c r="G338" s="1"/>
      <c r="H338" s="49"/>
      <c r="I338" s="49"/>
      <c r="J338" s="49"/>
      <c r="K338" s="49"/>
      <c r="L338" s="49"/>
      <c r="M338" s="49"/>
      <c r="N338" s="49"/>
      <c r="O338" s="49"/>
      <c r="P338" s="49"/>
      <c r="Q338" s="49"/>
      <c r="R338" s="49"/>
      <c r="S338" s="49"/>
      <c r="T338" s="49"/>
      <c r="U338" s="49"/>
      <c r="V338" s="49"/>
      <c r="W338" s="49"/>
      <c r="X338" s="49"/>
      <c r="Y338" s="49"/>
      <c r="Z338" s="49"/>
    </row>
    <row r="339" spans="1:26" ht="15.5">
      <c r="A339" s="1"/>
      <c r="B339" s="1"/>
      <c r="C339" s="1"/>
      <c r="D339" s="1"/>
      <c r="E339" s="1"/>
      <c r="F339" s="1"/>
      <c r="G339" s="1"/>
      <c r="H339" s="49"/>
      <c r="I339" s="49"/>
      <c r="J339" s="49"/>
      <c r="K339" s="49"/>
      <c r="L339" s="49"/>
      <c r="M339" s="49"/>
      <c r="N339" s="49"/>
      <c r="O339" s="49"/>
      <c r="P339" s="49"/>
      <c r="Q339" s="49"/>
      <c r="R339" s="49"/>
      <c r="S339" s="49"/>
      <c r="T339" s="49"/>
      <c r="U339" s="49"/>
      <c r="V339" s="49"/>
      <c r="W339" s="49"/>
      <c r="X339" s="49"/>
      <c r="Y339" s="49"/>
      <c r="Z339" s="49"/>
    </row>
    <row r="340" spans="1:26" ht="15.5">
      <c r="A340" s="1"/>
      <c r="B340" s="1"/>
      <c r="C340" s="1"/>
      <c r="D340" s="1"/>
      <c r="E340" s="1"/>
      <c r="F340" s="1"/>
      <c r="G340" s="1"/>
      <c r="H340" s="49"/>
      <c r="I340" s="49"/>
      <c r="J340" s="49"/>
      <c r="K340" s="49"/>
      <c r="L340" s="49"/>
      <c r="M340" s="49"/>
      <c r="N340" s="49"/>
      <c r="O340" s="49"/>
      <c r="P340" s="49"/>
      <c r="Q340" s="49"/>
      <c r="R340" s="49"/>
      <c r="S340" s="49"/>
      <c r="T340" s="49"/>
      <c r="U340" s="49"/>
      <c r="V340" s="49"/>
      <c r="W340" s="49"/>
      <c r="X340" s="49"/>
      <c r="Y340" s="49"/>
      <c r="Z340" s="49"/>
    </row>
    <row r="341" spans="1:26" ht="15.5">
      <c r="A341" s="1"/>
      <c r="B341" s="1"/>
      <c r="C341" s="1"/>
      <c r="D341" s="1"/>
      <c r="E341" s="1"/>
      <c r="F341" s="1"/>
      <c r="G341" s="1"/>
      <c r="H341" s="49"/>
      <c r="I341" s="49"/>
      <c r="J341" s="49"/>
      <c r="K341" s="49"/>
      <c r="L341" s="49"/>
      <c r="M341" s="49"/>
      <c r="N341" s="49"/>
      <c r="O341" s="49"/>
      <c r="P341" s="49"/>
      <c r="Q341" s="49"/>
      <c r="R341" s="49"/>
      <c r="S341" s="49"/>
      <c r="T341" s="49"/>
      <c r="U341" s="49"/>
      <c r="V341" s="49"/>
      <c r="W341" s="49"/>
      <c r="X341" s="49"/>
      <c r="Y341" s="49"/>
      <c r="Z341" s="49"/>
    </row>
    <row r="342" spans="1:26" ht="15.5">
      <c r="A342" s="1"/>
      <c r="B342" s="1"/>
      <c r="C342" s="1"/>
      <c r="D342" s="1"/>
      <c r="E342" s="1"/>
      <c r="F342" s="1"/>
      <c r="G342" s="1"/>
      <c r="H342" s="49"/>
      <c r="I342" s="49"/>
      <c r="J342" s="49"/>
      <c r="K342" s="49"/>
      <c r="L342" s="49"/>
      <c r="M342" s="49"/>
      <c r="N342" s="49"/>
      <c r="O342" s="49"/>
      <c r="P342" s="49"/>
      <c r="Q342" s="49"/>
      <c r="R342" s="49"/>
      <c r="S342" s="49"/>
      <c r="T342" s="49"/>
      <c r="U342" s="49"/>
      <c r="V342" s="49"/>
      <c r="W342" s="49"/>
      <c r="X342" s="49"/>
      <c r="Y342" s="49"/>
      <c r="Z342" s="49"/>
    </row>
    <row r="343" spans="1:26" ht="15.5">
      <c r="A343" s="1"/>
      <c r="B343" s="1"/>
      <c r="C343" s="1"/>
      <c r="D343" s="1"/>
      <c r="E343" s="1"/>
      <c r="F343" s="1"/>
      <c r="G343" s="1"/>
      <c r="H343" s="49"/>
      <c r="I343" s="49"/>
      <c r="J343" s="49"/>
      <c r="K343" s="49"/>
      <c r="L343" s="49"/>
      <c r="M343" s="49"/>
      <c r="N343" s="49"/>
      <c r="O343" s="49"/>
      <c r="P343" s="49"/>
      <c r="Q343" s="49"/>
      <c r="R343" s="49"/>
      <c r="S343" s="49"/>
      <c r="T343" s="49"/>
      <c r="U343" s="49"/>
      <c r="V343" s="49"/>
      <c r="W343" s="49"/>
      <c r="X343" s="49"/>
      <c r="Y343" s="49"/>
      <c r="Z343" s="49"/>
    </row>
    <row r="344" spans="1:26" ht="15.5">
      <c r="A344" s="1"/>
      <c r="B344" s="1"/>
      <c r="C344" s="1"/>
      <c r="D344" s="1"/>
      <c r="E344" s="1"/>
      <c r="F344" s="1"/>
      <c r="G344" s="1"/>
      <c r="H344" s="49"/>
      <c r="I344" s="49"/>
      <c r="J344" s="49"/>
      <c r="K344" s="49"/>
      <c r="L344" s="49"/>
      <c r="M344" s="49"/>
      <c r="N344" s="49"/>
      <c r="O344" s="49"/>
      <c r="P344" s="49"/>
      <c r="Q344" s="49"/>
      <c r="R344" s="49"/>
      <c r="S344" s="49"/>
      <c r="T344" s="49"/>
      <c r="U344" s="49"/>
      <c r="V344" s="49"/>
      <c r="W344" s="49"/>
      <c r="X344" s="49"/>
      <c r="Y344" s="49"/>
      <c r="Z344" s="49"/>
    </row>
    <row r="345" spans="1:26" ht="15.5">
      <c r="A345" s="1"/>
      <c r="B345" s="1"/>
      <c r="C345" s="1"/>
      <c r="D345" s="1"/>
      <c r="E345" s="1"/>
      <c r="F345" s="1"/>
      <c r="G345" s="1"/>
      <c r="H345" s="49"/>
      <c r="I345" s="49"/>
      <c r="J345" s="49"/>
      <c r="K345" s="49"/>
      <c r="L345" s="49"/>
      <c r="M345" s="49"/>
      <c r="N345" s="49"/>
      <c r="O345" s="49"/>
      <c r="P345" s="49"/>
      <c r="Q345" s="49"/>
      <c r="R345" s="49"/>
      <c r="S345" s="49"/>
      <c r="T345" s="49"/>
      <c r="U345" s="49"/>
      <c r="V345" s="49"/>
      <c r="W345" s="49"/>
      <c r="X345" s="49"/>
      <c r="Y345" s="49"/>
      <c r="Z345" s="49"/>
    </row>
    <row r="346" spans="1:26" ht="15.5">
      <c r="A346" s="1"/>
      <c r="B346" s="1"/>
      <c r="C346" s="1"/>
      <c r="D346" s="1"/>
      <c r="E346" s="1"/>
      <c r="F346" s="1"/>
      <c r="G346" s="1"/>
      <c r="H346" s="49"/>
      <c r="I346" s="49"/>
      <c r="J346" s="49"/>
      <c r="K346" s="49"/>
      <c r="L346" s="49"/>
      <c r="M346" s="49"/>
      <c r="N346" s="49"/>
      <c r="O346" s="49"/>
      <c r="P346" s="49"/>
      <c r="Q346" s="49"/>
      <c r="R346" s="49"/>
      <c r="S346" s="49"/>
      <c r="T346" s="49"/>
      <c r="U346" s="49"/>
      <c r="V346" s="49"/>
      <c r="W346" s="49"/>
      <c r="X346" s="49"/>
      <c r="Y346" s="49"/>
      <c r="Z346" s="49"/>
    </row>
    <row r="347" spans="1:26" ht="15.5">
      <c r="A347" s="1"/>
      <c r="B347" s="1"/>
      <c r="C347" s="1"/>
      <c r="D347" s="1"/>
      <c r="E347" s="1"/>
      <c r="F347" s="1"/>
      <c r="G347" s="1"/>
      <c r="H347" s="49"/>
      <c r="I347" s="49"/>
      <c r="J347" s="49"/>
      <c r="K347" s="49"/>
      <c r="L347" s="49"/>
      <c r="M347" s="49"/>
      <c r="N347" s="49"/>
      <c r="O347" s="49"/>
      <c r="P347" s="49"/>
      <c r="Q347" s="49"/>
      <c r="R347" s="49"/>
      <c r="S347" s="49"/>
      <c r="T347" s="49"/>
      <c r="U347" s="49"/>
      <c r="V347" s="49"/>
      <c r="W347" s="49"/>
      <c r="X347" s="49"/>
      <c r="Y347" s="49"/>
      <c r="Z347" s="49"/>
    </row>
    <row r="348" spans="1:26" ht="15.5">
      <c r="A348" s="1"/>
      <c r="B348" s="1"/>
      <c r="C348" s="1"/>
      <c r="D348" s="1"/>
      <c r="E348" s="1"/>
      <c r="F348" s="1"/>
      <c r="G348" s="1"/>
      <c r="H348" s="49"/>
      <c r="I348" s="49"/>
      <c r="J348" s="49"/>
      <c r="K348" s="49"/>
      <c r="L348" s="49"/>
      <c r="M348" s="49"/>
      <c r="N348" s="49"/>
      <c r="O348" s="49"/>
      <c r="P348" s="49"/>
      <c r="Q348" s="49"/>
      <c r="R348" s="49"/>
      <c r="S348" s="49"/>
      <c r="T348" s="49"/>
      <c r="U348" s="49"/>
      <c r="V348" s="49"/>
      <c r="W348" s="49"/>
      <c r="X348" s="49"/>
      <c r="Y348" s="49"/>
      <c r="Z348" s="49"/>
    </row>
    <row r="349" spans="1:26" ht="15.5">
      <c r="A349" s="1"/>
      <c r="B349" s="1"/>
      <c r="C349" s="1"/>
      <c r="D349" s="1"/>
      <c r="E349" s="1"/>
      <c r="F349" s="1"/>
      <c r="G349" s="1"/>
      <c r="H349" s="49"/>
      <c r="I349" s="49"/>
      <c r="J349" s="49"/>
      <c r="K349" s="49"/>
      <c r="L349" s="49"/>
      <c r="M349" s="49"/>
      <c r="N349" s="49"/>
      <c r="O349" s="49"/>
      <c r="P349" s="49"/>
      <c r="Q349" s="49"/>
      <c r="R349" s="49"/>
      <c r="S349" s="49"/>
      <c r="T349" s="49"/>
      <c r="U349" s="49"/>
      <c r="V349" s="49"/>
      <c r="W349" s="49"/>
      <c r="X349" s="49"/>
      <c r="Y349" s="49"/>
      <c r="Z349" s="49"/>
    </row>
    <row r="350" spans="1:26" ht="15.5">
      <c r="A350" s="1"/>
      <c r="B350" s="1"/>
      <c r="C350" s="1"/>
      <c r="D350" s="1"/>
      <c r="E350" s="1"/>
      <c r="F350" s="1"/>
      <c r="G350" s="1"/>
      <c r="H350" s="49"/>
      <c r="I350" s="49"/>
      <c r="J350" s="49"/>
      <c r="K350" s="49"/>
      <c r="L350" s="49"/>
      <c r="M350" s="49"/>
      <c r="N350" s="49"/>
      <c r="O350" s="49"/>
      <c r="P350" s="49"/>
      <c r="Q350" s="49"/>
      <c r="R350" s="49"/>
      <c r="S350" s="49"/>
      <c r="T350" s="49"/>
      <c r="U350" s="49"/>
      <c r="V350" s="49"/>
      <c r="W350" s="49"/>
      <c r="X350" s="49"/>
      <c r="Y350" s="49"/>
      <c r="Z350" s="49"/>
    </row>
    <row r="351" spans="1:26" ht="15.5">
      <c r="A351" s="1"/>
      <c r="B351" s="1"/>
      <c r="C351" s="1"/>
      <c r="D351" s="1"/>
      <c r="E351" s="1"/>
      <c r="F351" s="1"/>
      <c r="G351" s="1"/>
      <c r="H351" s="49"/>
      <c r="I351" s="49"/>
      <c r="J351" s="49"/>
      <c r="K351" s="49"/>
      <c r="L351" s="49"/>
      <c r="M351" s="49"/>
      <c r="N351" s="49"/>
      <c r="O351" s="49"/>
      <c r="P351" s="49"/>
      <c r="Q351" s="49"/>
      <c r="R351" s="49"/>
      <c r="S351" s="49"/>
      <c r="T351" s="49"/>
      <c r="U351" s="49"/>
      <c r="V351" s="49"/>
      <c r="W351" s="49"/>
      <c r="X351" s="49"/>
      <c r="Y351" s="49"/>
      <c r="Z351" s="49"/>
    </row>
    <row r="352" spans="1:26" ht="15.5">
      <c r="A352" s="1"/>
      <c r="B352" s="1"/>
      <c r="C352" s="1"/>
      <c r="D352" s="1"/>
      <c r="E352" s="1"/>
      <c r="F352" s="1"/>
      <c r="G352" s="1"/>
      <c r="H352" s="49"/>
      <c r="I352" s="49"/>
      <c r="J352" s="49"/>
      <c r="K352" s="49"/>
      <c r="L352" s="49"/>
      <c r="M352" s="49"/>
      <c r="N352" s="49"/>
      <c r="O352" s="49"/>
      <c r="P352" s="49"/>
      <c r="Q352" s="49"/>
      <c r="R352" s="49"/>
      <c r="S352" s="49"/>
      <c r="T352" s="49"/>
      <c r="U352" s="49"/>
      <c r="V352" s="49"/>
      <c r="W352" s="49"/>
      <c r="X352" s="49"/>
      <c r="Y352" s="49"/>
      <c r="Z352" s="49"/>
    </row>
    <row r="353" spans="1:26" ht="15.5">
      <c r="A353" s="1"/>
      <c r="B353" s="1"/>
      <c r="C353" s="1"/>
      <c r="D353" s="1"/>
      <c r="E353" s="1"/>
      <c r="F353" s="1"/>
      <c r="G353" s="1"/>
      <c r="H353" s="49"/>
      <c r="I353" s="49"/>
      <c r="J353" s="49"/>
      <c r="K353" s="49"/>
      <c r="L353" s="49"/>
      <c r="M353" s="49"/>
      <c r="N353" s="49"/>
      <c r="O353" s="49"/>
      <c r="P353" s="49"/>
      <c r="Q353" s="49"/>
      <c r="R353" s="49"/>
      <c r="S353" s="49"/>
      <c r="T353" s="49"/>
      <c r="U353" s="49"/>
      <c r="V353" s="49"/>
      <c r="W353" s="49"/>
      <c r="X353" s="49"/>
      <c r="Y353" s="49"/>
      <c r="Z353" s="49"/>
    </row>
    <row r="354" spans="1:26" ht="15.5">
      <c r="A354" s="1"/>
      <c r="B354" s="1"/>
      <c r="C354" s="1"/>
      <c r="D354" s="1"/>
      <c r="E354" s="1"/>
      <c r="F354" s="1"/>
      <c r="G354" s="1"/>
      <c r="H354" s="49"/>
      <c r="I354" s="49"/>
      <c r="J354" s="49"/>
      <c r="K354" s="49"/>
      <c r="L354" s="49"/>
      <c r="M354" s="49"/>
      <c r="N354" s="49"/>
      <c r="O354" s="49"/>
      <c r="P354" s="49"/>
      <c r="Q354" s="49"/>
      <c r="R354" s="49"/>
      <c r="S354" s="49"/>
      <c r="T354" s="49"/>
      <c r="U354" s="49"/>
      <c r="V354" s="49"/>
      <c r="W354" s="49"/>
      <c r="X354" s="49"/>
      <c r="Y354" s="49"/>
      <c r="Z354" s="49"/>
    </row>
    <row r="355" spans="1:26" ht="15.5">
      <c r="A355" s="1"/>
      <c r="B355" s="1"/>
      <c r="C355" s="1"/>
      <c r="D355" s="1"/>
      <c r="E355" s="1"/>
      <c r="F355" s="1"/>
      <c r="G355" s="1"/>
      <c r="H355" s="49"/>
      <c r="I355" s="49"/>
      <c r="J355" s="49"/>
      <c r="K355" s="49"/>
      <c r="L355" s="49"/>
      <c r="M355" s="49"/>
      <c r="N355" s="49"/>
      <c r="O355" s="49"/>
      <c r="P355" s="49"/>
      <c r="Q355" s="49"/>
      <c r="R355" s="49"/>
      <c r="S355" s="49"/>
      <c r="T355" s="49"/>
      <c r="U355" s="49"/>
      <c r="V355" s="49"/>
      <c r="W355" s="49"/>
      <c r="X355" s="49"/>
      <c r="Y355" s="49"/>
      <c r="Z355" s="49"/>
    </row>
    <row r="356" spans="1:26" ht="15.5">
      <c r="A356" s="1"/>
      <c r="B356" s="1"/>
      <c r="C356" s="1"/>
      <c r="D356" s="1"/>
      <c r="E356" s="1"/>
      <c r="F356" s="1"/>
      <c r="G356" s="1"/>
      <c r="H356" s="49"/>
      <c r="I356" s="49"/>
      <c r="J356" s="49"/>
      <c r="K356" s="49"/>
      <c r="L356" s="49"/>
      <c r="M356" s="49"/>
      <c r="N356" s="49"/>
      <c r="O356" s="49"/>
      <c r="P356" s="49"/>
      <c r="Q356" s="49"/>
      <c r="R356" s="49"/>
      <c r="S356" s="49"/>
      <c r="T356" s="49"/>
      <c r="U356" s="49"/>
      <c r="V356" s="49"/>
      <c r="W356" s="49"/>
      <c r="X356" s="49"/>
      <c r="Y356" s="49"/>
      <c r="Z356" s="49"/>
    </row>
    <row r="357" spans="1:26" ht="15.5">
      <c r="A357" s="1"/>
      <c r="B357" s="1"/>
      <c r="C357" s="1"/>
      <c r="D357" s="1"/>
      <c r="E357" s="1"/>
      <c r="F357" s="1"/>
      <c r="G357" s="1"/>
      <c r="H357" s="49"/>
      <c r="I357" s="49"/>
      <c r="J357" s="49"/>
      <c r="K357" s="49"/>
      <c r="L357" s="49"/>
      <c r="M357" s="49"/>
      <c r="N357" s="49"/>
      <c r="O357" s="49"/>
      <c r="P357" s="49"/>
      <c r="Q357" s="49"/>
      <c r="R357" s="49"/>
      <c r="S357" s="49"/>
      <c r="T357" s="49"/>
      <c r="U357" s="49"/>
      <c r="V357" s="49"/>
      <c r="W357" s="49"/>
      <c r="X357" s="49"/>
      <c r="Y357" s="49"/>
      <c r="Z357" s="49"/>
    </row>
    <row r="358" spans="1:26" ht="15.5">
      <c r="A358" s="1"/>
      <c r="B358" s="1"/>
      <c r="C358" s="1"/>
      <c r="D358" s="1"/>
      <c r="E358" s="1"/>
      <c r="F358" s="1"/>
      <c r="G358" s="1"/>
      <c r="H358" s="49"/>
      <c r="I358" s="49"/>
      <c r="J358" s="49"/>
      <c r="K358" s="49"/>
      <c r="L358" s="49"/>
      <c r="M358" s="49"/>
      <c r="N358" s="49"/>
      <c r="O358" s="49"/>
      <c r="P358" s="49"/>
      <c r="Q358" s="49"/>
      <c r="R358" s="49"/>
      <c r="S358" s="49"/>
      <c r="T358" s="49"/>
      <c r="U358" s="49"/>
      <c r="V358" s="49"/>
      <c r="W358" s="49"/>
      <c r="X358" s="49"/>
      <c r="Y358" s="49"/>
      <c r="Z358" s="49"/>
    </row>
    <row r="359" spans="1:26" ht="15.5">
      <c r="A359" s="1"/>
      <c r="B359" s="1"/>
      <c r="C359" s="1"/>
      <c r="D359" s="1"/>
      <c r="E359" s="1"/>
      <c r="F359" s="1"/>
      <c r="G359" s="1"/>
      <c r="H359" s="49"/>
      <c r="I359" s="49"/>
      <c r="J359" s="49"/>
      <c r="K359" s="49"/>
      <c r="L359" s="49"/>
      <c r="M359" s="49"/>
      <c r="N359" s="49"/>
      <c r="O359" s="49"/>
      <c r="P359" s="49"/>
      <c r="Q359" s="49"/>
      <c r="R359" s="49"/>
      <c r="S359" s="49"/>
      <c r="T359" s="49"/>
      <c r="U359" s="49"/>
      <c r="V359" s="49"/>
      <c r="W359" s="49"/>
      <c r="X359" s="49"/>
      <c r="Y359" s="49"/>
      <c r="Z359" s="49"/>
    </row>
    <row r="360" spans="1:26" ht="15.5">
      <c r="A360" s="1"/>
      <c r="B360" s="1"/>
      <c r="C360" s="1"/>
      <c r="D360" s="1"/>
      <c r="E360" s="1"/>
      <c r="F360" s="1"/>
      <c r="G360" s="1"/>
      <c r="H360" s="49"/>
      <c r="I360" s="49"/>
      <c r="J360" s="49"/>
      <c r="K360" s="49"/>
      <c r="L360" s="49"/>
      <c r="M360" s="49"/>
      <c r="N360" s="49"/>
      <c r="O360" s="49"/>
      <c r="P360" s="49"/>
      <c r="Q360" s="49"/>
      <c r="R360" s="49"/>
      <c r="S360" s="49"/>
      <c r="T360" s="49"/>
      <c r="U360" s="49"/>
      <c r="V360" s="49"/>
      <c r="W360" s="49"/>
      <c r="X360" s="49"/>
      <c r="Y360" s="49"/>
      <c r="Z360" s="49"/>
    </row>
    <row r="361" spans="1:26" ht="15.5">
      <c r="A361" s="1"/>
      <c r="B361" s="1"/>
      <c r="C361" s="1"/>
      <c r="D361" s="1"/>
      <c r="E361" s="1"/>
      <c r="F361" s="1"/>
      <c r="G361" s="1"/>
      <c r="H361" s="49"/>
      <c r="I361" s="49"/>
      <c r="J361" s="49"/>
      <c r="K361" s="49"/>
      <c r="L361" s="49"/>
      <c r="M361" s="49"/>
      <c r="N361" s="49"/>
      <c r="O361" s="49"/>
      <c r="P361" s="49"/>
      <c r="Q361" s="49"/>
      <c r="R361" s="49"/>
      <c r="S361" s="49"/>
      <c r="T361" s="49"/>
      <c r="U361" s="49"/>
      <c r="V361" s="49"/>
      <c r="W361" s="49"/>
      <c r="X361" s="49"/>
      <c r="Y361" s="49"/>
      <c r="Z361" s="49"/>
    </row>
    <row r="362" spans="1:26" ht="15.5">
      <c r="A362" s="1"/>
      <c r="B362" s="1"/>
      <c r="C362" s="1"/>
      <c r="D362" s="1"/>
      <c r="E362" s="1"/>
      <c r="F362" s="1"/>
      <c r="G362" s="1"/>
      <c r="H362" s="49"/>
      <c r="I362" s="49"/>
      <c r="J362" s="49"/>
      <c r="K362" s="49"/>
      <c r="L362" s="49"/>
      <c r="M362" s="49"/>
      <c r="N362" s="49"/>
      <c r="O362" s="49"/>
      <c r="P362" s="49"/>
      <c r="Q362" s="49"/>
      <c r="R362" s="49"/>
      <c r="S362" s="49"/>
      <c r="T362" s="49"/>
      <c r="U362" s="49"/>
      <c r="V362" s="49"/>
      <c r="W362" s="49"/>
      <c r="X362" s="49"/>
      <c r="Y362" s="49"/>
      <c r="Z362" s="49"/>
    </row>
    <row r="363" spans="1:26" ht="15.5">
      <c r="A363" s="1"/>
      <c r="B363" s="1"/>
      <c r="C363" s="1"/>
      <c r="D363" s="1"/>
      <c r="E363" s="1"/>
      <c r="F363" s="1"/>
      <c r="G363" s="1"/>
      <c r="H363" s="49"/>
      <c r="I363" s="49"/>
      <c r="J363" s="49"/>
      <c r="K363" s="49"/>
      <c r="L363" s="49"/>
      <c r="M363" s="49"/>
      <c r="N363" s="49"/>
      <c r="O363" s="49"/>
      <c r="P363" s="49"/>
      <c r="Q363" s="49"/>
      <c r="R363" s="49"/>
      <c r="S363" s="49"/>
      <c r="T363" s="49"/>
      <c r="U363" s="49"/>
      <c r="V363" s="49"/>
      <c r="W363" s="49"/>
      <c r="X363" s="49"/>
      <c r="Y363" s="49"/>
      <c r="Z363" s="49"/>
    </row>
    <row r="364" spans="1:26" ht="15.5">
      <c r="A364" s="1"/>
      <c r="B364" s="1"/>
      <c r="C364" s="1"/>
      <c r="D364" s="1"/>
      <c r="E364" s="1"/>
      <c r="F364" s="1"/>
      <c r="G364" s="1"/>
      <c r="H364" s="49"/>
      <c r="I364" s="49"/>
      <c r="J364" s="49"/>
      <c r="K364" s="49"/>
      <c r="L364" s="49"/>
      <c r="M364" s="49"/>
      <c r="N364" s="49"/>
      <c r="O364" s="49"/>
      <c r="P364" s="49"/>
      <c r="Q364" s="49"/>
      <c r="R364" s="49"/>
      <c r="S364" s="49"/>
      <c r="T364" s="49"/>
      <c r="U364" s="49"/>
      <c r="V364" s="49"/>
      <c r="W364" s="49"/>
      <c r="X364" s="49"/>
      <c r="Y364" s="49"/>
      <c r="Z364" s="49"/>
    </row>
    <row r="365" spans="1:26" ht="15.5">
      <c r="A365" s="1"/>
      <c r="B365" s="1"/>
      <c r="C365" s="1"/>
      <c r="D365" s="1"/>
      <c r="E365" s="1"/>
      <c r="F365" s="1"/>
      <c r="G365" s="1"/>
      <c r="H365" s="49"/>
      <c r="I365" s="49"/>
      <c r="J365" s="49"/>
      <c r="K365" s="49"/>
      <c r="L365" s="49"/>
      <c r="M365" s="49"/>
      <c r="N365" s="49"/>
      <c r="O365" s="49"/>
      <c r="P365" s="49"/>
      <c r="Q365" s="49"/>
      <c r="R365" s="49"/>
      <c r="S365" s="49"/>
      <c r="T365" s="49"/>
      <c r="U365" s="49"/>
      <c r="V365" s="49"/>
      <c r="W365" s="49"/>
      <c r="X365" s="49"/>
      <c r="Y365" s="49"/>
      <c r="Z365" s="49"/>
    </row>
    <row r="366" spans="1:26" ht="15.5">
      <c r="A366" s="1"/>
      <c r="B366" s="1"/>
      <c r="C366" s="1"/>
      <c r="D366" s="1"/>
      <c r="E366" s="1"/>
      <c r="F366" s="1"/>
      <c r="G366" s="1"/>
      <c r="H366" s="49"/>
      <c r="I366" s="49"/>
      <c r="J366" s="49"/>
      <c r="K366" s="49"/>
      <c r="L366" s="49"/>
      <c r="M366" s="49"/>
      <c r="N366" s="49"/>
      <c r="O366" s="49"/>
      <c r="P366" s="49"/>
      <c r="Q366" s="49"/>
      <c r="R366" s="49"/>
      <c r="S366" s="49"/>
      <c r="T366" s="49"/>
      <c r="U366" s="49"/>
      <c r="V366" s="49"/>
      <c r="W366" s="49"/>
      <c r="X366" s="49"/>
      <c r="Y366" s="49"/>
      <c r="Z366" s="49"/>
    </row>
    <row r="367" spans="1:26" ht="15.5">
      <c r="A367" s="1"/>
      <c r="B367" s="1"/>
      <c r="C367" s="1"/>
      <c r="D367" s="1"/>
      <c r="E367" s="1"/>
      <c r="F367" s="1"/>
      <c r="G367" s="1"/>
      <c r="H367" s="49"/>
      <c r="I367" s="49"/>
      <c r="J367" s="49"/>
      <c r="K367" s="49"/>
      <c r="L367" s="49"/>
      <c r="M367" s="49"/>
      <c r="N367" s="49"/>
      <c r="O367" s="49"/>
      <c r="P367" s="49"/>
      <c r="Q367" s="49"/>
      <c r="R367" s="49"/>
      <c r="S367" s="49"/>
      <c r="T367" s="49"/>
      <c r="U367" s="49"/>
      <c r="V367" s="49"/>
      <c r="W367" s="49"/>
      <c r="X367" s="49"/>
      <c r="Y367" s="49"/>
      <c r="Z367" s="49"/>
    </row>
    <row r="368" spans="1:26" ht="15.5">
      <c r="A368" s="1"/>
      <c r="B368" s="1"/>
      <c r="C368" s="1"/>
      <c r="D368" s="1"/>
      <c r="E368" s="1"/>
      <c r="F368" s="1"/>
      <c r="G368" s="1"/>
      <c r="H368" s="49"/>
      <c r="I368" s="49"/>
      <c r="J368" s="49"/>
      <c r="K368" s="49"/>
      <c r="L368" s="49"/>
      <c r="M368" s="49"/>
      <c r="N368" s="49"/>
      <c r="O368" s="49"/>
      <c r="P368" s="49"/>
      <c r="Q368" s="49"/>
      <c r="R368" s="49"/>
      <c r="S368" s="49"/>
      <c r="T368" s="49"/>
      <c r="U368" s="49"/>
      <c r="V368" s="49"/>
      <c r="W368" s="49"/>
      <c r="X368" s="49"/>
      <c r="Y368" s="49"/>
      <c r="Z368" s="49"/>
    </row>
    <row r="369" spans="1:26" ht="15.5">
      <c r="A369" s="1"/>
      <c r="B369" s="1"/>
      <c r="C369" s="1"/>
      <c r="D369" s="1"/>
      <c r="E369" s="1"/>
      <c r="F369" s="1"/>
      <c r="G369" s="1"/>
      <c r="H369" s="49"/>
      <c r="I369" s="49"/>
      <c r="J369" s="49"/>
      <c r="K369" s="49"/>
      <c r="L369" s="49"/>
      <c r="M369" s="49"/>
      <c r="N369" s="49"/>
      <c r="O369" s="49"/>
      <c r="P369" s="49"/>
      <c r="Q369" s="49"/>
      <c r="R369" s="49"/>
      <c r="S369" s="49"/>
      <c r="T369" s="49"/>
      <c r="U369" s="49"/>
      <c r="V369" s="49"/>
      <c r="W369" s="49"/>
      <c r="X369" s="49"/>
      <c r="Y369" s="49"/>
      <c r="Z369" s="49"/>
    </row>
    <row r="370" spans="1:26" ht="15.5">
      <c r="A370" s="1"/>
      <c r="B370" s="1"/>
      <c r="C370" s="1"/>
      <c r="D370" s="1"/>
      <c r="E370" s="1"/>
      <c r="F370" s="1"/>
      <c r="G370" s="1"/>
      <c r="H370" s="49"/>
      <c r="I370" s="49"/>
      <c r="J370" s="49"/>
      <c r="K370" s="49"/>
      <c r="L370" s="49"/>
      <c r="M370" s="49"/>
      <c r="N370" s="49"/>
      <c r="O370" s="49"/>
      <c r="P370" s="49"/>
      <c r="Q370" s="49"/>
      <c r="R370" s="49"/>
      <c r="S370" s="49"/>
      <c r="T370" s="49"/>
      <c r="U370" s="49"/>
      <c r="V370" s="49"/>
      <c r="W370" s="49"/>
      <c r="X370" s="49"/>
      <c r="Y370" s="49"/>
      <c r="Z370" s="49"/>
    </row>
    <row r="371" spans="1:26" ht="15.5">
      <c r="A371" s="1"/>
      <c r="B371" s="1"/>
      <c r="C371" s="1"/>
      <c r="D371" s="1"/>
      <c r="E371" s="1"/>
      <c r="F371" s="1"/>
      <c r="G371" s="1"/>
      <c r="H371" s="49"/>
      <c r="I371" s="49"/>
      <c r="J371" s="49"/>
      <c r="K371" s="49"/>
      <c r="L371" s="49"/>
      <c r="M371" s="49"/>
      <c r="N371" s="49"/>
      <c r="O371" s="49"/>
      <c r="P371" s="49"/>
      <c r="Q371" s="49"/>
      <c r="R371" s="49"/>
      <c r="S371" s="49"/>
      <c r="T371" s="49"/>
      <c r="U371" s="49"/>
      <c r="V371" s="49"/>
      <c r="W371" s="49"/>
      <c r="X371" s="49"/>
      <c r="Y371" s="49"/>
      <c r="Z371" s="49"/>
    </row>
    <row r="372" spans="1:26" ht="15.5">
      <c r="A372" s="1"/>
      <c r="B372" s="1"/>
      <c r="C372" s="1"/>
      <c r="D372" s="1"/>
      <c r="E372" s="1"/>
      <c r="F372" s="1"/>
      <c r="G372" s="1"/>
      <c r="H372" s="49"/>
      <c r="I372" s="49"/>
      <c r="J372" s="49"/>
      <c r="K372" s="49"/>
      <c r="L372" s="49"/>
      <c r="M372" s="49"/>
      <c r="N372" s="49"/>
      <c r="O372" s="49"/>
      <c r="P372" s="49"/>
      <c r="Q372" s="49"/>
      <c r="R372" s="49"/>
      <c r="S372" s="49"/>
      <c r="T372" s="49"/>
      <c r="U372" s="49"/>
      <c r="V372" s="49"/>
      <c r="W372" s="49"/>
      <c r="X372" s="49"/>
      <c r="Y372" s="49"/>
      <c r="Z372" s="49"/>
    </row>
    <row r="373" spans="1:26" ht="15.5">
      <c r="A373" s="1"/>
      <c r="B373" s="1"/>
      <c r="C373" s="1"/>
      <c r="D373" s="1"/>
      <c r="E373" s="1"/>
      <c r="F373" s="1"/>
      <c r="G373" s="1"/>
      <c r="H373" s="49"/>
      <c r="I373" s="49"/>
      <c r="J373" s="49"/>
      <c r="K373" s="49"/>
      <c r="L373" s="49"/>
      <c r="M373" s="49"/>
      <c r="N373" s="49"/>
      <c r="O373" s="49"/>
      <c r="P373" s="49"/>
      <c r="Q373" s="49"/>
      <c r="R373" s="49"/>
      <c r="S373" s="49"/>
      <c r="T373" s="49"/>
      <c r="U373" s="49"/>
      <c r="V373" s="49"/>
      <c r="W373" s="49"/>
      <c r="X373" s="49"/>
      <c r="Y373" s="49"/>
      <c r="Z373" s="49"/>
    </row>
    <row r="374" spans="1:26" ht="15.5">
      <c r="A374" s="1"/>
      <c r="B374" s="1"/>
      <c r="C374" s="1"/>
      <c r="D374" s="1"/>
      <c r="E374" s="1"/>
      <c r="F374" s="1"/>
      <c r="G374" s="1"/>
      <c r="H374" s="49"/>
      <c r="I374" s="49"/>
      <c r="J374" s="49"/>
      <c r="K374" s="49"/>
      <c r="L374" s="49"/>
      <c r="M374" s="49"/>
      <c r="N374" s="49"/>
      <c r="O374" s="49"/>
      <c r="P374" s="49"/>
      <c r="Q374" s="49"/>
      <c r="R374" s="49"/>
      <c r="S374" s="49"/>
      <c r="T374" s="49"/>
      <c r="U374" s="49"/>
      <c r="V374" s="49"/>
      <c r="W374" s="49"/>
      <c r="X374" s="49"/>
      <c r="Y374" s="49"/>
      <c r="Z374" s="49"/>
    </row>
    <row r="375" spans="1:26" ht="15.5">
      <c r="A375" s="1"/>
      <c r="B375" s="1"/>
      <c r="C375" s="1"/>
      <c r="D375" s="1"/>
      <c r="E375" s="1"/>
      <c r="F375" s="1"/>
      <c r="G375" s="1"/>
      <c r="H375" s="49"/>
      <c r="I375" s="49"/>
      <c r="J375" s="49"/>
      <c r="K375" s="49"/>
      <c r="L375" s="49"/>
      <c r="M375" s="49"/>
      <c r="N375" s="49"/>
      <c r="O375" s="49"/>
      <c r="P375" s="49"/>
      <c r="Q375" s="49"/>
      <c r="R375" s="49"/>
      <c r="S375" s="49"/>
      <c r="T375" s="49"/>
      <c r="U375" s="49"/>
      <c r="V375" s="49"/>
      <c r="W375" s="49"/>
      <c r="X375" s="49"/>
      <c r="Y375" s="49"/>
      <c r="Z375" s="49"/>
    </row>
    <row r="376" spans="1:26" ht="15.5">
      <c r="A376" s="1"/>
      <c r="B376" s="1"/>
      <c r="C376" s="1"/>
      <c r="D376" s="1"/>
      <c r="E376" s="1"/>
      <c r="F376" s="1"/>
      <c r="G376" s="1"/>
      <c r="H376" s="49"/>
      <c r="I376" s="49"/>
      <c r="J376" s="49"/>
      <c r="K376" s="49"/>
      <c r="L376" s="49"/>
      <c r="M376" s="49"/>
      <c r="N376" s="49"/>
      <c r="O376" s="49"/>
      <c r="P376" s="49"/>
      <c r="Q376" s="49"/>
      <c r="R376" s="49"/>
      <c r="S376" s="49"/>
      <c r="T376" s="49"/>
      <c r="U376" s="49"/>
      <c r="V376" s="49"/>
      <c r="W376" s="49"/>
      <c r="X376" s="49"/>
      <c r="Y376" s="49"/>
      <c r="Z376" s="49"/>
    </row>
    <row r="377" spans="1:26" ht="15.5">
      <c r="A377" s="1"/>
      <c r="B377" s="1"/>
      <c r="C377" s="1"/>
      <c r="D377" s="1"/>
      <c r="E377" s="1"/>
      <c r="F377" s="1"/>
      <c r="G377" s="1"/>
      <c r="H377" s="49"/>
      <c r="I377" s="49"/>
      <c r="J377" s="49"/>
      <c r="K377" s="49"/>
      <c r="L377" s="49"/>
      <c r="M377" s="49"/>
      <c r="N377" s="49"/>
      <c r="O377" s="49"/>
      <c r="P377" s="49"/>
      <c r="Q377" s="49"/>
      <c r="R377" s="49"/>
      <c r="S377" s="49"/>
      <c r="T377" s="49"/>
      <c r="U377" s="49"/>
      <c r="V377" s="49"/>
      <c r="W377" s="49"/>
      <c r="X377" s="49"/>
      <c r="Y377" s="49"/>
      <c r="Z377" s="49"/>
    </row>
    <row r="378" spans="1:26" ht="15.5">
      <c r="A378" s="1"/>
      <c r="B378" s="1"/>
      <c r="C378" s="1"/>
      <c r="D378" s="1"/>
      <c r="E378" s="1"/>
      <c r="F378" s="1"/>
      <c r="G378" s="1"/>
      <c r="H378" s="49"/>
      <c r="I378" s="49"/>
      <c r="J378" s="49"/>
      <c r="K378" s="49"/>
      <c r="L378" s="49"/>
      <c r="M378" s="49"/>
      <c r="N378" s="49"/>
      <c r="O378" s="49"/>
      <c r="P378" s="49"/>
      <c r="Q378" s="49"/>
      <c r="R378" s="49"/>
      <c r="S378" s="49"/>
      <c r="T378" s="49"/>
      <c r="U378" s="49"/>
      <c r="V378" s="49"/>
      <c r="W378" s="49"/>
      <c r="X378" s="49"/>
      <c r="Y378" s="49"/>
      <c r="Z378" s="49"/>
    </row>
    <row r="379" spans="1:26" ht="15.5">
      <c r="A379" s="1"/>
      <c r="B379" s="1"/>
      <c r="C379" s="1"/>
      <c r="D379" s="1"/>
      <c r="E379" s="1"/>
      <c r="F379" s="1"/>
      <c r="G379" s="1"/>
      <c r="H379" s="49"/>
      <c r="I379" s="49"/>
      <c r="J379" s="49"/>
      <c r="K379" s="49"/>
      <c r="L379" s="49"/>
      <c r="M379" s="49"/>
      <c r="N379" s="49"/>
      <c r="O379" s="49"/>
      <c r="P379" s="49"/>
      <c r="Q379" s="49"/>
      <c r="R379" s="49"/>
      <c r="S379" s="49"/>
      <c r="T379" s="49"/>
      <c r="U379" s="49"/>
      <c r="V379" s="49"/>
      <c r="W379" s="49"/>
      <c r="X379" s="49"/>
      <c r="Y379" s="49"/>
      <c r="Z379" s="49"/>
    </row>
    <row r="380" spans="1:26" ht="15.5">
      <c r="A380" s="1"/>
      <c r="B380" s="1"/>
      <c r="C380" s="1"/>
      <c r="D380" s="1"/>
      <c r="E380" s="1"/>
      <c r="F380" s="1"/>
      <c r="G380" s="1"/>
      <c r="H380" s="49"/>
      <c r="I380" s="49"/>
      <c r="J380" s="49"/>
      <c r="K380" s="49"/>
      <c r="L380" s="49"/>
      <c r="M380" s="49"/>
      <c r="N380" s="49"/>
      <c r="O380" s="49"/>
      <c r="P380" s="49"/>
      <c r="Q380" s="49"/>
      <c r="R380" s="49"/>
      <c r="S380" s="49"/>
      <c r="T380" s="49"/>
      <c r="U380" s="49"/>
      <c r="V380" s="49"/>
      <c r="W380" s="49"/>
      <c r="X380" s="49"/>
      <c r="Y380" s="49"/>
      <c r="Z380" s="49"/>
    </row>
    <row r="381" spans="1:26" ht="15.5">
      <c r="A381" s="1"/>
      <c r="B381" s="1"/>
      <c r="C381" s="1"/>
      <c r="D381" s="1"/>
      <c r="E381" s="1"/>
      <c r="F381" s="1"/>
      <c r="G381" s="1"/>
      <c r="H381" s="49"/>
      <c r="I381" s="49"/>
      <c r="J381" s="49"/>
      <c r="K381" s="49"/>
      <c r="L381" s="49"/>
      <c r="M381" s="49"/>
      <c r="N381" s="49"/>
      <c r="O381" s="49"/>
      <c r="P381" s="49"/>
      <c r="Q381" s="49"/>
      <c r="R381" s="49"/>
      <c r="S381" s="49"/>
      <c r="T381" s="49"/>
      <c r="U381" s="49"/>
      <c r="V381" s="49"/>
      <c r="W381" s="49"/>
      <c r="X381" s="49"/>
      <c r="Y381" s="49"/>
      <c r="Z381" s="49"/>
    </row>
    <row r="382" spans="1:26" ht="15.5">
      <c r="A382" s="1"/>
      <c r="B382" s="1"/>
      <c r="C382" s="1"/>
      <c r="D382" s="1"/>
      <c r="E382" s="1"/>
      <c r="F382" s="1"/>
      <c r="G382" s="1"/>
      <c r="H382" s="49"/>
      <c r="I382" s="49"/>
      <c r="J382" s="49"/>
      <c r="K382" s="49"/>
      <c r="L382" s="49"/>
      <c r="M382" s="49"/>
      <c r="N382" s="49"/>
      <c r="O382" s="49"/>
      <c r="P382" s="49"/>
      <c r="Q382" s="49"/>
      <c r="R382" s="49"/>
      <c r="S382" s="49"/>
      <c r="T382" s="49"/>
      <c r="U382" s="49"/>
      <c r="V382" s="49"/>
      <c r="W382" s="49"/>
      <c r="X382" s="49"/>
      <c r="Y382" s="49"/>
      <c r="Z382" s="49"/>
    </row>
    <row r="383" spans="1:26" ht="15.5">
      <c r="A383" s="1"/>
      <c r="B383" s="1"/>
      <c r="C383" s="1"/>
      <c r="D383" s="1"/>
      <c r="E383" s="1"/>
      <c r="F383" s="1"/>
      <c r="G383" s="1"/>
      <c r="H383" s="49"/>
      <c r="I383" s="49"/>
      <c r="J383" s="49"/>
      <c r="K383" s="49"/>
      <c r="L383" s="49"/>
      <c r="M383" s="49"/>
      <c r="N383" s="49"/>
      <c r="O383" s="49"/>
      <c r="P383" s="49"/>
      <c r="Q383" s="49"/>
      <c r="R383" s="49"/>
      <c r="S383" s="49"/>
      <c r="T383" s="49"/>
      <c r="U383" s="49"/>
      <c r="V383" s="49"/>
      <c r="W383" s="49"/>
      <c r="X383" s="49"/>
      <c r="Y383" s="49"/>
      <c r="Z383" s="49"/>
    </row>
    <row r="384" spans="1:26" ht="15.5">
      <c r="A384" s="1"/>
      <c r="B384" s="1"/>
      <c r="C384" s="1"/>
      <c r="D384" s="1"/>
      <c r="E384" s="1"/>
      <c r="F384" s="1"/>
      <c r="G384" s="1"/>
      <c r="H384" s="49"/>
      <c r="I384" s="49"/>
      <c r="J384" s="49"/>
      <c r="K384" s="49"/>
      <c r="L384" s="49"/>
      <c r="M384" s="49"/>
      <c r="N384" s="49"/>
      <c r="O384" s="49"/>
      <c r="P384" s="49"/>
      <c r="Q384" s="49"/>
      <c r="R384" s="49"/>
      <c r="S384" s="49"/>
      <c r="T384" s="49"/>
      <c r="U384" s="49"/>
      <c r="V384" s="49"/>
      <c r="W384" s="49"/>
      <c r="X384" s="49"/>
      <c r="Y384" s="49"/>
      <c r="Z384" s="49"/>
    </row>
    <row r="385" spans="1:26" ht="15.5">
      <c r="A385" s="1"/>
      <c r="B385" s="1"/>
      <c r="C385" s="1"/>
      <c r="D385" s="1"/>
      <c r="E385" s="1"/>
      <c r="F385" s="1"/>
      <c r="G385" s="1"/>
      <c r="H385" s="49"/>
      <c r="I385" s="49"/>
      <c r="J385" s="49"/>
      <c r="K385" s="49"/>
      <c r="L385" s="49"/>
      <c r="M385" s="49"/>
      <c r="N385" s="49"/>
      <c r="O385" s="49"/>
      <c r="P385" s="49"/>
      <c r="Q385" s="49"/>
      <c r="R385" s="49"/>
      <c r="S385" s="49"/>
      <c r="T385" s="49"/>
      <c r="U385" s="49"/>
      <c r="V385" s="49"/>
      <c r="W385" s="49"/>
      <c r="X385" s="49"/>
      <c r="Y385" s="49"/>
      <c r="Z385" s="49"/>
    </row>
    <row r="386" spans="1:26" ht="15.5">
      <c r="A386" s="1"/>
      <c r="B386" s="1"/>
      <c r="C386" s="1"/>
      <c r="D386" s="1"/>
      <c r="E386" s="1"/>
      <c r="F386" s="1"/>
      <c r="G386" s="1"/>
      <c r="H386" s="49"/>
      <c r="I386" s="49"/>
      <c r="J386" s="49"/>
      <c r="K386" s="49"/>
      <c r="L386" s="49"/>
      <c r="M386" s="49"/>
      <c r="N386" s="49"/>
      <c r="O386" s="49"/>
      <c r="P386" s="49"/>
      <c r="Q386" s="49"/>
      <c r="R386" s="49"/>
      <c r="S386" s="49"/>
      <c r="T386" s="49"/>
      <c r="U386" s="49"/>
      <c r="V386" s="49"/>
      <c r="W386" s="49"/>
      <c r="X386" s="49"/>
      <c r="Y386" s="49"/>
      <c r="Z386" s="49"/>
    </row>
    <row r="387" spans="1:26" ht="15.5">
      <c r="A387" s="1"/>
      <c r="B387" s="1"/>
      <c r="C387" s="1"/>
      <c r="D387" s="1"/>
      <c r="E387" s="1"/>
      <c r="F387" s="1"/>
      <c r="G387" s="1"/>
      <c r="H387" s="49"/>
      <c r="I387" s="49"/>
      <c r="J387" s="49"/>
      <c r="K387" s="49"/>
      <c r="L387" s="49"/>
      <c r="M387" s="49"/>
      <c r="N387" s="49"/>
      <c r="O387" s="49"/>
      <c r="P387" s="49"/>
      <c r="Q387" s="49"/>
      <c r="R387" s="49"/>
      <c r="S387" s="49"/>
      <c r="T387" s="49"/>
      <c r="U387" s="49"/>
      <c r="V387" s="49"/>
      <c r="W387" s="49"/>
      <c r="X387" s="49"/>
      <c r="Y387" s="49"/>
      <c r="Z387" s="49"/>
    </row>
    <row r="388" spans="1:26" ht="15.5">
      <c r="A388" s="1"/>
      <c r="B388" s="1"/>
      <c r="C388" s="1"/>
      <c r="D388" s="1"/>
      <c r="E388" s="1"/>
      <c r="F388" s="1"/>
      <c r="G388" s="1"/>
      <c r="H388" s="49"/>
      <c r="I388" s="49"/>
      <c r="J388" s="49"/>
      <c r="K388" s="49"/>
      <c r="L388" s="49"/>
      <c r="M388" s="49"/>
      <c r="N388" s="49"/>
      <c r="O388" s="49"/>
      <c r="P388" s="49"/>
      <c r="Q388" s="49"/>
      <c r="R388" s="49"/>
      <c r="S388" s="49"/>
      <c r="T388" s="49"/>
      <c r="U388" s="49"/>
      <c r="V388" s="49"/>
      <c r="W388" s="49"/>
      <c r="X388" s="49"/>
      <c r="Y388" s="49"/>
      <c r="Z388" s="49"/>
    </row>
    <row r="389" spans="1:26" ht="15.5">
      <c r="A389" s="1"/>
      <c r="B389" s="1"/>
      <c r="C389" s="1"/>
      <c r="D389" s="1"/>
      <c r="E389" s="1"/>
      <c r="F389" s="1"/>
      <c r="G389" s="1"/>
      <c r="H389" s="49"/>
      <c r="I389" s="49"/>
      <c r="J389" s="49"/>
      <c r="K389" s="49"/>
      <c r="L389" s="49"/>
      <c r="M389" s="49"/>
      <c r="N389" s="49"/>
      <c r="O389" s="49"/>
      <c r="P389" s="49"/>
      <c r="Q389" s="49"/>
      <c r="R389" s="49"/>
      <c r="S389" s="49"/>
      <c r="T389" s="49"/>
      <c r="U389" s="49"/>
      <c r="V389" s="49"/>
      <c r="W389" s="49"/>
      <c r="X389" s="49"/>
      <c r="Y389" s="49"/>
      <c r="Z389" s="49"/>
    </row>
    <row r="390" spans="1:26" ht="15.5">
      <c r="A390" s="1"/>
      <c r="B390" s="1"/>
      <c r="C390" s="1"/>
      <c r="D390" s="1"/>
      <c r="E390" s="1"/>
      <c r="F390" s="1"/>
      <c r="G390" s="1"/>
      <c r="H390" s="49"/>
      <c r="I390" s="49"/>
      <c r="J390" s="49"/>
      <c r="K390" s="49"/>
      <c r="L390" s="49"/>
      <c r="M390" s="49"/>
      <c r="N390" s="49"/>
      <c r="O390" s="49"/>
      <c r="P390" s="49"/>
      <c r="Q390" s="49"/>
      <c r="R390" s="49"/>
      <c r="S390" s="49"/>
      <c r="T390" s="49"/>
      <c r="U390" s="49"/>
      <c r="V390" s="49"/>
      <c r="W390" s="49"/>
      <c r="X390" s="49"/>
      <c r="Y390" s="49"/>
      <c r="Z390" s="49"/>
    </row>
    <row r="391" spans="1:26" ht="15.5">
      <c r="A391" s="1"/>
      <c r="B391" s="1"/>
      <c r="C391" s="1"/>
      <c r="D391" s="1"/>
      <c r="E391" s="1"/>
      <c r="F391" s="1"/>
      <c r="G391" s="1"/>
      <c r="H391" s="49"/>
      <c r="I391" s="49"/>
      <c r="J391" s="49"/>
      <c r="K391" s="49"/>
      <c r="L391" s="49"/>
      <c r="M391" s="49"/>
      <c r="N391" s="49"/>
      <c r="O391" s="49"/>
      <c r="P391" s="49"/>
      <c r="Q391" s="49"/>
      <c r="R391" s="49"/>
      <c r="S391" s="49"/>
      <c r="T391" s="49"/>
      <c r="U391" s="49"/>
      <c r="V391" s="49"/>
      <c r="W391" s="49"/>
      <c r="X391" s="49"/>
      <c r="Y391" s="49"/>
      <c r="Z391" s="49"/>
    </row>
    <row r="392" spans="1:26" ht="15.5">
      <c r="A392" s="1"/>
      <c r="B392" s="1"/>
      <c r="C392" s="1"/>
      <c r="D392" s="1"/>
      <c r="E392" s="1"/>
      <c r="F392" s="1"/>
      <c r="G392" s="1"/>
      <c r="H392" s="49"/>
      <c r="I392" s="49"/>
      <c r="J392" s="49"/>
      <c r="K392" s="49"/>
      <c r="L392" s="49"/>
      <c r="M392" s="49"/>
      <c r="N392" s="49"/>
      <c r="O392" s="49"/>
      <c r="P392" s="49"/>
      <c r="Q392" s="49"/>
      <c r="R392" s="49"/>
      <c r="S392" s="49"/>
      <c r="T392" s="49"/>
      <c r="U392" s="49"/>
      <c r="V392" s="49"/>
      <c r="W392" s="49"/>
      <c r="X392" s="49"/>
      <c r="Y392" s="49"/>
      <c r="Z392" s="49"/>
    </row>
    <row r="393" spans="1:26" ht="15.5">
      <c r="A393" s="1"/>
      <c r="B393" s="1"/>
      <c r="C393" s="1"/>
      <c r="D393" s="1"/>
      <c r="E393" s="1"/>
      <c r="F393" s="1"/>
      <c r="G393" s="1"/>
      <c r="H393" s="49"/>
      <c r="I393" s="49"/>
      <c r="J393" s="49"/>
      <c r="K393" s="49"/>
      <c r="L393" s="49"/>
      <c r="M393" s="49"/>
      <c r="N393" s="49"/>
      <c r="O393" s="49"/>
      <c r="P393" s="49"/>
      <c r="Q393" s="49"/>
      <c r="R393" s="49"/>
      <c r="S393" s="49"/>
      <c r="T393" s="49"/>
      <c r="U393" s="49"/>
      <c r="V393" s="49"/>
      <c r="W393" s="49"/>
      <c r="X393" s="49"/>
      <c r="Y393" s="49"/>
      <c r="Z393" s="49"/>
    </row>
    <row r="394" spans="1:26" ht="15.5">
      <c r="A394" s="1"/>
      <c r="B394" s="1"/>
      <c r="C394" s="1"/>
      <c r="D394" s="1"/>
      <c r="E394" s="1"/>
      <c r="F394" s="1"/>
      <c r="G394" s="1"/>
      <c r="H394" s="49"/>
      <c r="I394" s="49"/>
      <c r="J394" s="49"/>
      <c r="K394" s="49"/>
      <c r="L394" s="49"/>
      <c r="M394" s="49"/>
      <c r="N394" s="49"/>
      <c r="O394" s="49"/>
      <c r="P394" s="49"/>
      <c r="Q394" s="49"/>
      <c r="R394" s="49"/>
      <c r="S394" s="49"/>
      <c r="T394" s="49"/>
      <c r="U394" s="49"/>
      <c r="V394" s="49"/>
      <c r="W394" s="49"/>
      <c r="X394" s="49"/>
      <c r="Y394" s="49"/>
      <c r="Z394" s="49"/>
    </row>
    <row r="395" spans="1:26" ht="15.5">
      <c r="A395" s="1"/>
      <c r="B395" s="1"/>
      <c r="C395" s="1"/>
      <c r="D395" s="1"/>
      <c r="E395" s="1"/>
      <c r="F395" s="1"/>
      <c r="G395" s="1"/>
      <c r="H395" s="49"/>
      <c r="I395" s="49"/>
      <c r="J395" s="49"/>
      <c r="K395" s="49"/>
      <c r="L395" s="49"/>
      <c r="M395" s="49"/>
      <c r="N395" s="49"/>
      <c r="O395" s="49"/>
      <c r="P395" s="49"/>
      <c r="Q395" s="49"/>
      <c r="R395" s="49"/>
      <c r="S395" s="49"/>
      <c r="T395" s="49"/>
      <c r="U395" s="49"/>
      <c r="V395" s="49"/>
      <c r="W395" s="49"/>
      <c r="X395" s="49"/>
      <c r="Y395" s="49"/>
      <c r="Z395" s="49"/>
    </row>
    <row r="396" spans="1:26" ht="15.5">
      <c r="A396" s="1"/>
      <c r="B396" s="1"/>
      <c r="C396" s="1"/>
      <c r="D396" s="1"/>
      <c r="E396" s="1"/>
      <c r="F396" s="1"/>
      <c r="G396" s="1"/>
      <c r="H396" s="49"/>
      <c r="I396" s="49"/>
      <c r="J396" s="49"/>
      <c r="K396" s="49"/>
      <c r="L396" s="49"/>
      <c r="M396" s="49"/>
      <c r="N396" s="49"/>
      <c r="O396" s="49"/>
      <c r="P396" s="49"/>
      <c r="Q396" s="49"/>
      <c r="R396" s="49"/>
      <c r="S396" s="49"/>
      <c r="T396" s="49"/>
      <c r="U396" s="49"/>
      <c r="V396" s="49"/>
      <c r="W396" s="49"/>
      <c r="X396" s="49"/>
      <c r="Y396" s="49"/>
      <c r="Z396" s="49"/>
    </row>
    <row r="397" spans="1:26" ht="15.5">
      <c r="A397" s="1"/>
      <c r="B397" s="1"/>
      <c r="C397" s="1"/>
      <c r="D397" s="1"/>
      <c r="E397" s="1"/>
      <c r="F397" s="1"/>
      <c r="G397" s="1"/>
      <c r="H397" s="49"/>
      <c r="I397" s="49"/>
      <c r="J397" s="49"/>
      <c r="K397" s="49"/>
      <c r="L397" s="49"/>
      <c r="M397" s="49"/>
      <c r="N397" s="49"/>
      <c r="O397" s="49"/>
      <c r="P397" s="49"/>
      <c r="Q397" s="49"/>
      <c r="R397" s="49"/>
      <c r="S397" s="49"/>
      <c r="T397" s="49"/>
      <c r="U397" s="49"/>
      <c r="V397" s="49"/>
      <c r="W397" s="49"/>
      <c r="X397" s="49"/>
      <c r="Y397" s="49"/>
      <c r="Z397" s="49"/>
    </row>
    <row r="398" spans="1:26" ht="15.5">
      <c r="A398" s="1"/>
      <c r="B398" s="1"/>
      <c r="C398" s="1"/>
      <c r="D398" s="1"/>
      <c r="E398" s="1"/>
      <c r="F398" s="1"/>
      <c r="G398" s="1"/>
      <c r="H398" s="49"/>
      <c r="I398" s="49"/>
      <c r="J398" s="49"/>
      <c r="K398" s="49"/>
      <c r="L398" s="49"/>
      <c r="M398" s="49"/>
      <c r="N398" s="49"/>
      <c r="O398" s="49"/>
      <c r="P398" s="49"/>
      <c r="Q398" s="49"/>
      <c r="R398" s="49"/>
      <c r="S398" s="49"/>
      <c r="T398" s="49"/>
      <c r="U398" s="49"/>
      <c r="V398" s="49"/>
      <c r="W398" s="49"/>
      <c r="X398" s="49"/>
      <c r="Y398" s="49"/>
      <c r="Z398" s="49"/>
    </row>
    <row r="399" spans="1:26" ht="15.5">
      <c r="A399" s="1"/>
      <c r="B399" s="1"/>
      <c r="C399" s="1"/>
      <c r="D399" s="1"/>
      <c r="E399" s="1"/>
      <c r="F399" s="1"/>
      <c r="G399" s="1"/>
      <c r="H399" s="49"/>
      <c r="I399" s="49"/>
      <c r="J399" s="49"/>
      <c r="K399" s="49"/>
      <c r="L399" s="49"/>
      <c r="M399" s="49"/>
      <c r="N399" s="49"/>
      <c r="O399" s="49"/>
      <c r="P399" s="49"/>
      <c r="Q399" s="49"/>
      <c r="R399" s="49"/>
      <c r="S399" s="49"/>
      <c r="T399" s="49"/>
      <c r="U399" s="49"/>
      <c r="V399" s="49"/>
      <c r="W399" s="49"/>
      <c r="X399" s="49"/>
      <c r="Y399" s="49"/>
      <c r="Z399" s="49"/>
    </row>
    <row r="400" spans="1:26" ht="15.5">
      <c r="A400" s="1"/>
      <c r="B400" s="1"/>
      <c r="C400" s="1"/>
      <c r="D400" s="1"/>
      <c r="E400" s="1"/>
      <c r="F400" s="1"/>
      <c r="G400" s="1"/>
      <c r="H400" s="49"/>
      <c r="I400" s="49"/>
      <c r="J400" s="49"/>
      <c r="K400" s="49"/>
      <c r="L400" s="49"/>
      <c r="M400" s="49"/>
      <c r="N400" s="49"/>
      <c r="O400" s="49"/>
      <c r="P400" s="49"/>
      <c r="Q400" s="49"/>
      <c r="R400" s="49"/>
      <c r="S400" s="49"/>
      <c r="T400" s="49"/>
      <c r="U400" s="49"/>
      <c r="V400" s="49"/>
      <c r="W400" s="49"/>
      <c r="X400" s="49"/>
      <c r="Y400" s="49"/>
      <c r="Z400" s="49"/>
    </row>
    <row r="401" spans="1:26" ht="15.5">
      <c r="A401" s="1"/>
      <c r="B401" s="1"/>
      <c r="C401" s="1"/>
      <c r="D401" s="1"/>
      <c r="E401" s="1"/>
      <c r="F401" s="1"/>
      <c r="G401" s="1"/>
      <c r="H401" s="49"/>
      <c r="I401" s="49"/>
      <c r="J401" s="49"/>
      <c r="K401" s="49"/>
      <c r="L401" s="49"/>
      <c r="M401" s="49"/>
      <c r="N401" s="49"/>
      <c r="O401" s="49"/>
      <c r="P401" s="49"/>
      <c r="Q401" s="49"/>
      <c r="R401" s="49"/>
      <c r="S401" s="49"/>
      <c r="T401" s="49"/>
      <c r="U401" s="49"/>
      <c r="V401" s="49"/>
      <c r="W401" s="49"/>
      <c r="X401" s="49"/>
      <c r="Y401" s="49"/>
      <c r="Z401" s="49"/>
    </row>
    <row r="402" spans="1:26" ht="15.5">
      <c r="A402" s="1"/>
      <c r="B402" s="1"/>
      <c r="C402" s="1"/>
      <c r="D402" s="1"/>
      <c r="E402" s="1"/>
      <c r="F402" s="1"/>
      <c r="G402" s="1"/>
      <c r="H402" s="49"/>
      <c r="I402" s="49"/>
      <c r="J402" s="49"/>
      <c r="K402" s="49"/>
      <c r="L402" s="49"/>
      <c r="M402" s="49"/>
      <c r="N402" s="49"/>
      <c r="O402" s="49"/>
      <c r="P402" s="49"/>
      <c r="Q402" s="49"/>
      <c r="R402" s="49"/>
      <c r="S402" s="49"/>
      <c r="T402" s="49"/>
      <c r="U402" s="49"/>
      <c r="V402" s="49"/>
      <c r="W402" s="49"/>
      <c r="X402" s="49"/>
      <c r="Y402" s="49"/>
      <c r="Z402" s="49"/>
    </row>
    <row r="403" spans="1:26" ht="15.5">
      <c r="A403" s="1"/>
      <c r="B403" s="1"/>
      <c r="C403" s="1"/>
      <c r="D403" s="1"/>
      <c r="E403" s="1"/>
      <c r="F403" s="1"/>
      <c r="G403" s="1"/>
      <c r="H403" s="49"/>
      <c r="I403" s="49"/>
      <c r="J403" s="49"/>
      <c r="K403" s="49"/>
      <c r="L403" s="49"/>
      <c r="M403" s="49"/>
      <c r="N403" s="49"/>
      <c r="O403" s="49"/>
      <c r="P403" s="49"/>
      <c r="Q403" s="49"/>
      <c r="R403" s="49"/>
      <c r="S403" s="49"/>
      <c r="T403" s="49"/>
      <c r="U403" s="49"/>
      <c r="V403" s="49"/>
      <c r="W403" s="49"/>
      <c r="X403" s="49"/>
      <c r="Y403" s="49"/>
      <c r="Z403" s="49"/>
    </row>
    <row r="404" spans="1:26" ht="15.5">
      <c r="A404" s="1"/>
      <c r="B404" s="1"/>
      <c r="C404" s="1"/>
      <c r="D404" s="1"/>
      <c r="E404" s="1"/>
      <c r="F404" s="1"/>
      <c r="G404" s="1"/>
      <c r="H404" s="49"/>
      <c r="I404" s="49"/>
      <c r="J404" s="49"/>
      <c r="K404" s="49"/>
      <c r="L404" s="49"/>
      <c r="M404" s="49"/>
      <c r="N404" s="49"/>
      <c r="O404" s="49"/>
      <c r="P404" s="49"/>
      <c r="Q404" s="49"/>
      <c r="R404" s="49"/>
      <c r="S404" s="49"/>
      <c r="T404" s="49"/>
      <c r="U404" s="49"/>
      <c r="V404" s="49"/>
      <c r="W404" s="49"/>
      <c r="X404" s="49"/>
      <c r="Y404" s="49"/>
      <c r="Z404" s="49"/>
    </row>
    <row r="405" spans="1:26" ht="15.5">
      <c r="A405" s="1"/>
      <c r="B405" s="1"/>
      <c r="C405" s="1"/>
      <c r="D405" s="1"/>
      <c r="E405" s="1"/>
      <c r="F405" s="1"/>
      <c r="G405" s="1"/>
      <c r="H405" s="49"/>
      <c r="I405" s="49"/>
      <c r="J405" s="49"/>
      <c r="K405" s="49"/>
      <c r="L405" s="49"/>
      <c r="M405" s="49"/>
      <c r="N405" s="49"/>
      <c r="O405" s="49"/>
      <c r="P405" s="49"/>
      <c r="Q405" s="49"/>
      <c r="R405" s="49"/>
      <c r="S405" s="49"/>
      <c r="T405" s="49"/>
      <c r="U405" s="49"/>
      <c r="V405" s="49"/>
      <c r="W405" s="49"/>
      <c r="X405" s="49"/>
      <c r="Y405" s="49"/>
      <c r="Z405" s="49"/>
    </row>
    <row r="406" spans="1:26" ht="15.5">
      <c r="A406" s="1"/>
      <c r="B406" s="1"/>
      <c r="C406" s="1"/>
      <c r="D406" s="1"/>
      <c r="E406" s="1"/>
      <c r="F406" s="1"/>
      <c r="G406" s="1"/>
      <c r="H406" s="49"/>
      <c r="I406" s="49"/>
      <c r="J406" s="49"/>
      <c r="K406" s="49"/>
      <c r="L406" s="49"/>
      <c r="M406" s="49"/>
      <c r="N406" s="49"/>
      <c r="O406" s="49"/>
      <c r="P406" s="49"/>
      <c r="Q406" s="49"/>
      <c r="R406" s="49"/>
      <c r="S406" s="49"/>
      <c r="T406" s="49"/>
      <c r="U406" s="49"/>
      <c r="V406" s="49"/>
      <c r="W406" s="49"/>
      <c r="X406" s="49"/>
      <c r="Y406" s="49"/>
      <c r="Z406" s="49"/>
    </row>
    <row r="407" spans="1:26" ht="15.5">
      <c r="A407" s="1"/>
      <c r="B407" s="1"/>
      <c r="C407" s="1"/>
      <c r="D407" s="1"/>
      <c r="E407" s="1"/>
      <c r="F407" s="1"/>
      <c r="G407" s="1"/>
      <c r="H407" s="49"/>
      <c r="I407" s="49"/>
      <c r="J407" s="49"/>
      <c r="K407" s="49"/>
      <c r="L407" s="49"/>
      <c r="M407" s="49"/>
      <c r="N407" s="49"/>
      <c r="O407" s="49"/>
      <c r="P407" s="49"/>
      <c r="Q407" s="49"/>
      <c r="R407" s="49"/>
      <c r="S407" s="49"/>
      <c r="T407" s="49"/>
      <c r="U407" s="49"/>
      <c r="V407" s="49"/>
      <c r="W407" s="49"/>
      <c r="X407" s="49"/>
      <c r="Y407" s="49"/>
      <c r="Z407" s="49"/>
    </row>
    <row r="408" spans="1:26" ht="15.5">
      <c r="A408" s="1"/>
      <c r="B408" s="1"/>
      <c r="C408" s="1"/>
      <c r="D408" s="1"/>
      <c r="E408" s="1"/>
      <c r="F408" s="1"/>
      <c r="G408" s="1"/>
      <c r="H408" s="49"/>
      <c r="I408" s="49"/>
      <c r="J408" s="49"/>
      <c r="K408" s="49"/>
      <c r="L408" s="49"/>
      <c r="M408" s="49"/>
      <c r="N408" s="49"/>
      <c r="O408" s="49"/>
      <c r="P408" s="49"/>
      <c r="Q408" s="49"/>
      <c r="R408" s="49"/>
      <c r="S408" s="49"/>
      <c r="T408" s="49"/>
      <c r="U408" s="49"/>
      <c r="V408" s="49"/>
      <c r="W408" s="49"/>
      <c r="X408" s="49"/>
      <c r="Y408" s="49"/>
      <c r="Z408" s="49"/>
    </row>
    <row r="409" spans="1:26" ht="15.5">
      <c r="A409" s="1"/>
      <c r="B409" s="1"/>
      <c r="C409" s="1"/>
      <c r="D409" s="1"/>
      <c r="E409" s="1"/>
      <c r="F409" s="1"/>
      <c r="G409" s="1"/>
      <c r="H409" s="49"/>
      <c r="I409" s="49"/>
      <c r="J409" s="49"/>
      <c r="K409" s="49"/>
      <c r="L409" s="49"/>
      <c r="M409" s="49"/>
      <c r="N409" s="49"/>
      <c r="O409" s="49"/>
      <c r="P409" s="49"/>
      <c r="Q409" s="49"/>
      <c r="R409" s="49"/>
      <c r="S409" s="49"/>
      <c r="T409" s="49"/>
      <c r="U409" s="49"/>
      <c r="V409" s="49"/>
      <c r="W409" s="49"/>
      <c r="X409" s="49"/>
      <c r="Y409" s="49"/>
      <c r="Z409" s="49"/>
    </row>
    <row r="410" spans="1:26" ht="15.5">
      <c r="A410" s="1"/>
      <c r="B410" s="1"/>
      <c r="C410" s="1"/>
      <c r="D410" s="1"/>
      <c r="E410" s="1"/>
      <c r="F410" s="1"/>
      <c r="G410" s="1"/>
      <c r="H410" s="49"/>
      <c r="I410" s="49"/>
      <c r="J410" s="49"/>
      <c r="K410" s="49"/>
      <c r="L410" s="49"/>
      <c r="M410" s="49"/>
      <c r="N410" s="49"/>
      <c r="O410" s="49"/>
      <c r="P410" s="49"/>
      <c r="Q410" s="49"/>
      <c r="R410" s="49"/>
      <c r="S410" s="49"/>
      <c r="T410" s="49"/>
      <c r="U410" s="49"/>
      <c r="V410" s="49"/>
      <c r="W410" s="49"/>
      <c r="X410" s="49"/>
      <c r="Y410" s="49"/>
      <c r="Z410" s="49"/>
    </row>
    <row r="411" spans="1:26" ht="15.5">
      <c r="A411" s="1"/>
      <c r="B411" s="1"/>
      <c r="C411" s="1"/>
      <c r="D411" s="1"/>
      <c r="E411" s="1"/>
      <c r="F411" s="1"/>
      <c r="G411" s="1"/>
      <c r="H411" s="49"/>
      <c r="I411" s="49"/>
      <c r="J411" s="49"/>
      <c r="K411" s="49"/>
      <c r="L411" s="49"/>
      <c r="M411" s="49"/>
      <c r="N411" s="49"/>
      <c r="O411" s="49"/>
      <c r="P411" s="49"/>
      <c r="Q411" s="49"/>
      <c r="R411" s="49"/>
      <c r="S411" s="49"/>
      <c r="T411" s="49"/>
      <c r="U411" s="49"/>
      <c r="V411" s="49"/>
      <c r="W411" s="49"/>
      <c r="X411" s="49"/>
      <c r="Y411" s="49"/>
      <c r="Z411" s="49"/>
    </row>
    <row r="412" spans="1:26" ht="15.5">
      <c r="A412" s="1"/>
      <c r="B412" s="1"/>
      <c r="C412" s="1"/>
      <c r="D412" s="1"/>
      <c r="E412" s="1"/>
      <c r="F412" s="1"/>
      <c r="G412" s="1"/>
      <c r="H412" s="49"/>
      <c r="I412" s="49"/>
      <c r="J412" s="49"/>
      <c r="K412" s="49"/>
      <c r="L412" s="49"/>
      <c r="M412" s="49"/>
      <c r="N412" s="49"/>
      <c r="O412" s="49"/>
      <c r="P412" s="49"/>
      <c r="Q412" s="49"/>
      <c r="R412" s="49"/>
      <c r="S412" s="49"/>
      <c r="T412" s="49"/>
      <c r="U412" s="49"/>
      <c r="V412" s="49"/>
      <c r="W412" s="49"/>
      <c r="X412" s="49"/>
      <c r="Y412" s="49"/>
      <c r="Z412" s="49"/>
    </row>
    <row r="413" spans="1:26" ht="15.5">
      <c r="A413" s="1"/>
      <c r="B413" s="1"/>
      <c r="C413" s="1"/>
      <c r="D413" s="1"/>
      <c r="E413" s="1"/>
      <c r="F413" s="1"/>
      <c r="G413" s="1"/>
      <c r="H413" s="49"/>
      <c r="I413" s="49"/>
      <c r="J413" s="49"/>
      <c r="K413" s="49"/>
      <c r="L413" s="49"/>
      <c r="M413" s="49"/>
      <c r="N413" s="49"/>
      <c r="O413" s="49"/>
      <c r="P413" s="49"/>
      <c r="Q413" s="49"/>
      <c r="R413" s="49"/>
      <c r="S413" s="49"/>
      <c r="T413" s="49"/>
      <c r="U413" s="49"/>
      <c r="V413" s="49"/>
      <c r="W413" s="49"/>
      <c r="X413" s="49"/>
      <c r="Y413" s="49"/>
      <c r="Z413" s="49"/>
    </row>
    <row r="414" spans="1:26" ht="15.5">
      <c r="A414" s="1"/>
      <c r="B414" s="1"/>
      <c r="C414" s="1"/>
      <c r="D414" s="1"/>
      <c r="E414" s="1"/>
      <c r="F414" s="1"/>
      <c r="G414" s="1"/>
      <c r="H414" s="49"/>
      <c r="I414" s="49"/>
      <c r="J414" s="49"/>
      <c r="K414" s="49"/>
      <c r="L414" s="49"/>
      <c r="M414" s="49"/>
      <c r="N414" s="49"/>
      <c r="O414" s="49"/>
      <c r="P414" s="49"/>
      <c r="Q414" s="49"/>
      <c r="R414" s="49"/>
      <c r="S414" s="49"/>
      <c r="T414" s="49"/>
      <c r="U414" s="49"/>
      <c r="V414" s="49"/>
      <c r="W414" s="49"/>
      <c r="X414" s="49"/>
      <c r="Y414" s="49"/>
      <c r="Z414" s="49"/>
    </row>
    <row r="415" spans="1:26" ht="15.5">
      <c r="A415" s="1"/>
      <c r="B415" s="1"/>
      <c r="C415" s="1"/>
      <c r="D415" s="1"/>
      <c r="E415" s="1"/>
      <c r="F415" s="1"/>
      <c r="G415" s="1"/>
      <c r="H415" s="49"/>
      <c r="I415" s="49"/>
      <c r="J415" s="49"/>
      <c r="K415" s="49"/>
      <c r="L415" s="49"/>
      <c r="M415" s="49"/>
      <c r="N415" s="49"/>
      <c r="O415" s="49"/>
      <c r="P415" s="49"/>
      <c r="Q415" s="49"/>
      <c r="R415" s="49"/>
      <c r="S415" s="49"/>
      <c r="T415" s="49"/>
      <c r="U415" s="49"/>
      <c r="V415" s="49"/>
      <c r="W415" s="49"/>
      <c r="X415" s="49"/>
      <c r="Y415" s="49"/>
      <c r="Z415" s="49"/>
    </row>
    <row r="416" spans="1:26" ht="15.5">
      <c r="A416" s="1"/>
      <c r="B416" s="1"/>
      <c r="C416" s="1"/>
      <c r="D416" s="1"/>
      <c r="E416" s="1"/>
      <c r="F416" s="1"/>
      <c r="G416" s="1"/>
      <c r="H416" s="49"/>
      <c r="I416" s="49"/>
      <c r="J416" s="49"/>
      <c r="K416" s="49"/>
      <c r="L416" s="49"/>
      <c r="M416" s="49"/>
      <c r="N416" s="49"/>
      <c r="O416" s="49"/>
      <c r="P416" s="49"/>
      <c r="Q416" s="49"/>
      <c r="R416" s="49"/>
      <c r="S416" s="49"/>
      <c r="T416" s="49"/>
      <c r="U416" s="49"/>
      <c r="V416" s="49"/>
      <c r="W416" s="49"/>
      <c r="X416" s="49"/>
      <c r="Y416" s="49"/>
      <c r="Z416" s="49"/>
    </row>
    <row r="417" spans="1:26" ht="15.5">
      <c r="A417" s="1"/>
      <c r="B417" s="1"/>
      <c r="C417" s="1"/>
      <c r="D417" s="1"/>
      <c r="E417" s="1"/>
      <c r="F417" s="1"/>
      <c r="G417" s="1"/>
      <c r="H417" s="49"/>
      <c r="I417" s="49"/>
      <c r="J417" s="49"/>
      <c r="K417" s="49"/>
      <c r="L417" s="49"/>
      <c r="M417" s="49"/>
      <c r="N417" s="49"/>
      <c r="O417" s="49"/>
      <c r="P417" s="49"/>
      <c r="Q417" s="49"/>
      <c r="R417" s="49"/>
      <c r="S417" s="49"/>
      <c r="T417" s="49"/>
      <c r="U417" s="49"/>
      <c r="V417" s="49"/>
      <c r="W417" s="49"/>
      <c r="X417" s="49"/>
      <c r="Y417" s="49"/>
      <c r="Z417" s="49"/>
    </row>
    <row r="418" spans="1:26" ht="15.5">
      <c r="A418" s="1"/>
      <c r="B418" s="1"/>
      <c r="C418" s="1"/>
      <c r="D418" s="1"/>
      <c r="E418" s="1"/>
      <c r="F418" s="1"/>
      <c r="G418" s="1"/>
      <c r="H418" s="49"/>
      <c r="I418" s="49"/>
      <c r="J418" s="49"/>
      <c r="K418" s="49"/>
      <c r="L418" s="49"/>
      <c r="M418" s="49"/>
      <c r="N418" s="49"/>
      <c r="O418" s="49"/>
      <c r="P418" s="49"/>
      <c r="Q418" s="49"/>
      <c r="R418" s="49"/>
      <c r="S418" s="49"/>
      <c r="T418" s="49"/>
      <c r="U418" s="49"/>
      <c r="V418" s="49"/>
      <c r="W418" s="49"/>
      <c r="X418" s="49"/>
      <c r="Y418" s="49"/>
      <c r="Z418" s="49"/>
    </row>
    <row r="419" spans="1:26" ht="15.5">
      <c r="A419" s="1"/>
      <c r="B419" s="1"/>
      <c r="C419" s="1"/>
      <c r="D419" s="1"/>
      <c r="E419" s="1"/>
      <c r="F419" s="1"/>
      <c r="G419" s="1"/>
      <c r="H419" s="49"/>
      <c r="I419" s="49"/>
      <c r="J419" s="49"/>
      <c r="K419" s="49"/>
      <c r="L419" s="49"/>
      <c r="M419" s="49"/>
      <c r="N419" s="49"/>
      <c r="O419" s="49"/>
      <c r="P419" s="49"/>
      <c r="Q419" s="49"/>
      <c r="R419" s="49"/>
      <c r="S419" s="49"/>
      <c r="T419" s="49"/>
      <c r="U419" s="49"/>
      <c r="V419" s="49"/>
      <c r="W419" s="49"/>
      <c r="X419" s="49"/>
      <c r="Y419" s="49"/>
      <c r="Z419" s="49"/>
    </row>
    <row r="420" spans="1:26" ht="15.5">
      <c r="A420" s="1"/>
      <c r="B420" s="1"/>
      <c r="C420" s="1"/>
      <c r="D420" s="1"/>
      <c r="E420" s="1"/>
      <c r="F420" s="1"/>
      <c r="G420" s="1"/>
      <c r="H420" s="49"/>
      <c r="I420" s="49"/>
      <c r="J420" s="49"/>
      <c r="K420" s="49"/>
      <c r="L420" s="49"/>
      <c r="M420" s="49"/>
      <c r="N420" s="49"/>
      <c r="O420" s="49"/>
      <c r="P420" s="49"/>
      <c r="Q420" s="49"/>
      <c r="R420" s="49"/>
      <c r="S420" s="49"/>
      <c r="T420" s="49"/>
      <c r="U420" s="49"/>
      <c r="V420" s="49"/>
      <c r="W420" s="49"/>
      <c r="X420" s="49"/>
      <c r="Y420" s="49"/>
      <c r="Z420" s="49"/>
    </row>
    <row r="421" spans="1:26" ht="15.5">
      <c r="A421" s="1"/>
      <c r="B421" s="1"/>
      <c r="C421" s="1"/>
      <c r="D421" s="1"/>
      <c r="E421" s="1"/>
      <c r="F421" s="1"/>
      <c r="G421" s="1"/>
      <c r="H421" s="49"/>
      <c r="I421" s="49"/>
      <c r="J421" s="49"/>
      <c r="K421" s="49"/>
      <c r="L421" s="49"/>
      <c r="M421" s="49"/>
      <c r="N421" s="49"/>
      <c r="O421" s="49"/>
      <c r="P421" s="49"/>
      <c r="Q421" s="49"/>
      <c r="R421" s="49"/>
      <c r="S421" s="49"/>
      <c r="T421" s="49"/>
      <c r="U421" s="49"/>
      <c r="V421" s="49"/>
      <c r="W421" s="49"/>
      <c r="X421" s="49"/>
      <c r="Y421" s="49"/>
      <c r="Z421" s="49"/>
    </row>
    <row r="422" spans="1:26" ht="15.5">
      <c r="A422" s="1"/>
      <c r="B422" s="1"/>
      <c r="C422" s="1"/>
      <c r="D422" s="1"/>
      <c r="E422" s="1"/>
      <c r="F422" s="1"/>
      <c r="G422" s="1"/>
      <c r="H422" s="49"/>
      <c r="I422" s="49"/>
      <c r="J422" s="49"/>
      <c r="K422" s="49"/>
      <c r="L422" s="49"/>
      <c r="M422" s="49"/>
      <c r="N422" s="49"/>
      <c r="O422" s="49"/>
      <c r="P422" s="49"/>
      <c r="Q422" s="49"/>
      <c r="R422" s="49"/>
      <c r="S422" s="49"/>
      <c r="T422" s="49"/>
      <c r="U422" s="49"/>
      <c r="V422" s="49"/>
      <c r="W422" s="49"/>
      <c r="X422" s="49"/>
      <c r="Y422" s="49"/>
      <c r="Z422" s="49"/>
    </row>
    <row r="423" spans="1:26" ht="15.5">
      <c r="A423" s="1"/>
      <c r="B423" s="1"/>
      <c r="C423" s="1"/>
      <c r="D423" s="1"/>
      <c r="E423" s="1"/>
      <c r="F423" s="1"/>
      <c r="G423" s="1"/>
      <c r="H423" s="49"/>
      <c r="I423" s="49"/>
      <c r="J423" s="49"/>
      <c r="K423" s="49"/>
      <c r="L423" s="49"/>
      <c r="M423" s="49"/>
      <c r="N423" s="49"/>
      <c r="O423" s="49"/>
      <c r="P423" s="49"/>
      <c r="Q423" s="49"/>
      <c r="R423" s="49"/>
      <c r="S423" s="49"/>
      <c r="T423" s="49"/>
      <c r="U423" s="49"/>
      <c r="V423" s="49"/>
      <c r="W423" s="49"/>
      <c r="X423" s="49"/>
      <c r="Y423" s="49"/>
      <c r="Z423" s="49"/>
    </row>
    <row r="424" spans="1:26" ht="15.5">
      <c r="A424" s="1"/>
      <c r="B424" s="1"/>
      <c r="C424" s="1"/>
      <c r="D424" s="1"/>
      <c r="E424" s="1"/>
      <c r="F424" s="1"/>
      <c r="G424" s="1"/>
      <c r="H424" s="49"/>
      <c r="I424" s="49"/>
      <c r="J424" s="49"/>
      <c r="K424" s="49"/>
      <c r="L424" s="49"/>
      <c r="M424" s="49"/>
      <c r="N424" s="49"/>
      <c r="O424" s="49"/>
      <c r="P424" s="49"/>
      <c r="Q424" s="49"/>
      <c r="R424" s="49"/>
      <c r="S424" s="49"/>
      <c r="T424" s="49"/>
      <c r="U424" s="49"/>
      <c r="V424" s="49"/>
      <c r="W424" s="49"/>
      <c r="X424" s="49"/>
      <c r="Y424" s="49"/>
      <c r="Z424" s="49"/>
    </row>
    <row r="425" spans="1:26" ht="15.5">
      <c r="A425" s="1"/>
      <c r="B425" s="1"/>
      <c r="C425" s="1"/>
      <c r="D425" s="1"/>
      <c r="E425" s="1"/>
      <c r="F425" s="1"/>
      <c r="G425" s="1"/>
      <c r="H425" s="49"/>
      <c r="I425" s="49"/>
      <c r="J425" s="49"/>
      <c r="K425" s="49"/>
      <c r="L425" s="49"/>
      <c r="M425" s="49"/>
      <c r="N425" s="49"/>
      <c r="O425" s="49"/>
      <c r="P425" s="49"/>
      <c r="Q425" s="49"/>
      <c r="R425" s="49"/>
      <c r="S425" s="49"/>
      <c r="T425" s="49"/>
      <c r="U425" s="49"/>
      <c r="V425" s="49"/>
      <c r="W425" s="49"/>
      <c r="X425" s="49"/>
      <c r="Y425" s="49"/>
      <c r="Z425" s="49"/>
    </row>
    <row r="426" spans="1:26" ht="15.5">
      <c r="A426" s="1"/>
      <c r="B426" s="1"/>
      <c r="C426" s="1"/>
      <c r="D426" s="1"/>
      <c r="E426" s="1"/>
      <c r="F426" s="1"/>
      <c r="G426" s="1"/>
      <c r="H426" s="49"/>
      <c r="I426" s="49"/>
      <c r="J426" s="49"/>
      <c r="K426" s="49"/>
      <c r="L426" s="49"/>
      <c r="M426" s="49"/>
      <c r="N426" s="49"/>
      <c r="O426" s="49"/>
      <c r="P426" s="49"/>
      <c r="Q426" s="49"/>
      <c r="R426" s="49"/>
      <c r="S426" s="49"/>
      <c r="T426" s="49"/>
      <c r="U426" s="49"/>
      <c r="V426" s="49"/>
      <c r="W426" s="49"/>
      <c r="X426" s="49"/>
      <c r="Y426" s="49"/>
      <c r="Z426" s="49"/>
    </row>
    <row r="427" spans="1:26" ht="15.5">
      <c r="A427" s="1"/>
      <c r="B427" s="1"/>
      <c r="C427" s="1"/>
      <c r="D427" s="1"/>
      <c r="E427" s="1"/>
      <c r="F427" s="1"/>
      <c r="G427" s="1"/>
      <c r="H427" s="49"/>
      <c r="I427" s="49"/>
      <c r="J427" s="49"/>
      <c r="K427" s="49"/>
      <c r="L427" s="49"/>
      <c r="M427" s="49"/>
      <c r="N427" s="49"/>
      <c r="O427" s="49"/>
      <c r="P427" s="49"/>
      <c r="Q427" s="49"/>
      <c r="R427" s="49"/>
      <c r="S427" s="49"/>
      <c r="T427" s="49"/>
      <c r="U427" s="49"/>
      <c r="V427" s="49"/>
      <c r="W427" s="49"/>
      <c r="X427" s="49"/>
      <c r="Y427" s="49"/>
      <c r="Z427" s="49"/>
    </row>
    <row r="428" spans="1:26" ht="15.5">
      <c r="A428" s="1"/>
      <c r="B428" s="1"/>
      <c r="C428" s="1"/>
      <c r="D428" s="1"/>
      <c r="E428" s="1"/>
      <c r="F428" s="1"/>
      <c r="G428" s="1"/>
      <c r="H428" s="49"/>
      <c r="I428" s="49"/>
      <c r="J428" s="49"/>
      <c r="K428" s="49"/>
      <c r="L428" s="49"/>
      <c r="M428" s="49"/>
      <c r="N428" s="49"/>
      <c r="O428" s="49"/>
      <c r="P428" s="49"/>
      <c r="Q428" s="49"/>
      <c r="R428" s="49"/>
      <c r="S428" s="49"/>
      <c r="T428" s="49"/>
      <c r="U428" s="49"/>
      <c r="V428" s="49"/>
      <c r="W428" s="49"/>
      <c r="X428" s="49"/>
      <c r="Y428" s="49"/>
      <c r="Z428" s="49"/>
    </row>
    <row r="429" spans="1:26" ht="15.5">
      <c r="A429" s="1"/>
      <c r="B429" s="1"/>
      <c r="C429" s="1"/>
      <c r="D429" s="1"/>
      <c r="E429" s="1"/>
      <c r="F429" s="1"/>
      <c r="G429" s="1"/>
      <c r="H429" s="49"/>
      <c r="I429" s="49"/>
      <c r="J429" s="49"/>
      <c r="K429" s="49"/>
      <c r="L429" s="49"/>
      <c r="M429" s="49"/>
      <c r="N429" s="49"/>
      <c r="O429" s="49"/>
      <c r="P429" s="49"/>
      <c r="Q429" s="49"/>
      <c r="R429" s="49"/>
      <c r="S429" s="49"/>
      <c r="T429" s="49"/>
      <c r="U429" s="49"/>
      <c r="V429" s="49"/>
      <c r="W429" s="49"/>
      <c r="X429" s="49"/>
      <c r="Y429" s="49"/>
      <c r="Z429" s="49"/>
    </row>
    <row r="430" spans="1:26" ht="15.5">
      <c r="A430" s="1"/>
      <c r="B430" s="1"/>
      <c r="C430" s="1"/>
      <c r="D430" s="1"/>
      <c r="E430" s="1"/>
      <c r="F430" s="1"/>
      <c r="G430" s="1"/>
      <c r="H430" s="49"/>
      <c r="I430" s="49"/>
      <c r="J430" s="49"/>
      <c r="K430" s="49"/>
      <c r="L430" s="49"/>
      <c r="M430" s="49"/>
      <c r="N430" s="49"/>
      <c r="O430" s="49"/>
      <c r="P430" s="49"/>
      <c r="Q430" s="49"/>
      <c r="R430" s="49"/>
      <c r="S430" s="49"/>
      <c r="T430" s="49"/>
      <c r="U430" s="49"/>
      <c r="V430" s="49"/>
      <c r="W430" s="49"/>
      <c r="X430" s="49"/>
      <c r="Y430" s="49"/>
      <c r="Z430" s="49"/>
    </row>
    <row r="431" spans="1:26" ht="15.5">
      <c r="A431" s="1"/>
      <c r="B431" s="1"/>
      <c r="C431" s="1"/>
      <c r="D431" s="1"/>
      <c r="E431" s="1"/>
      <c r="F431" s="1"/>
      <c r="G431" s="1"/>
      <c r="H431" s="49"/>
      <c r="I431" s="49"/>
      <c r="J431" s="49"/>
      <c r="K431" s="49"/>
      <c r="L431" s="49"/>
      <c r="M431" s="49"/>
      <c r="N431" s="49"/>
      <c r="O431" s="49"/>
      <c r="P431" s="49"/>
      <c r="Q431" s="49"/>
      <c r="R431" s="49"/>
      <c r="S431" s="49"/>
      <c r="T431" s="49"/>
      <c r="U431" s="49"/>
      <c r="V431" s="49"/>
      <c r="W431" s="49"/>
      <c r="X431" s="49"/>
      <c r="Y431" s="49"/>
      <c r="Z431" s="49"/>
    </row>
    <row r="432" spans="1:26" ht="15.5">
      <c r="A432" s="1"/>
      <c r="B432" s="1"/>
      <c r="C432" s="1"/>
      <c r="D432" s="1"/>
      <c r="E432" s="1"/>
      <c r="F432" s="1"/>
      <c r="G432" s="1"/>
      <c r="H432" s="49"/>
      <c r="I432" s="49"/>
      <c r="J432" s="49"/>
      <c r="K432" s="49"/>
      <c r="L432" s="49"/>
      <c r="M432" s="49"/>
      <c r="N432" s="49"/>
      <c r="O432" s="49"/>
      <c r="P432" s="49"/>
      <c r="Q432" s="49"/>
      <c r="R432" s="49"/>
      <c r="S432" s="49"/>
      <c r="T432" s="49"/>
      <c r="U432" s="49"/>
      <c r="V432" s="49"/>
      <c r="W432" s="49"/>
      <c r="X432" s="49"/>
      <c r="Y432" s="49"/>
      <c r="Z432" s="49"/>
    </row>
    <row r="433" spans="1:26" ht="15.5">
      <c r="A433" s="1"/>
      <c r="B433" s="1"/>
      <c r="C433" s="1"/>
      <c r="D433" s="1"/>
      <c r="E433" s="1"/>
      <c r="F433" s="1"/>
      <c r="G433" s="1"/>
      <c r="H433" s="49"/>
      <c r="I433" s="49"/>
      <c r="J433" s="49"/>
      <c r="K433" s="49"/>
      <c r="L433" s="49"/>
      <c r="M433" s="49"/>
      <c r="N433" s="49"/>
      <c r="O433" s="49"/>
      <c r="P433" s="49"/>
      <c r="Q433" s="49"/>
      <c r="R433" s="49"/>
      <c r="S433" s="49"/>
      <c r="T433" s="49"/>
      <c r="U433" s="49"/>
      <c r="V433" s="49"/>
      <c r="W433" s="49"/>
      <c r="X433" s="49"/>
      <c r="Y433" s="49"/>
      <c r="Z433" s="49"/>
    </row>
    <row r="434" spans="1:26" ht="15.5">
      <c r="A434" s="1"/>
      <c r="B434" s="1"/>
      <c r="C434" s="1"/>
      <c r="D434" s="1"/>
      <c r="E434" s="1"/>
      <c r="F434" s="1"/>
      <c r="G434" s="1"/>
      <c r="H434" s="49"/>
      <c r="I434" s="49"/>
      <c r="J434" s="49"/>
      <c r="K434" s="49"/>
      <c r="L434" s="49"/>
      <c r="M434" s="49"/>
      <c r="N434" s="49"/>
      <c r="O434" s="49"/>
      <c r="P434" s="49"/>
      <c r="Q434" s="49"/>
      <c r="R434" s="49"/>
      <c r="S434" s="49"/>
      <c r="T434" s="49"/>
      <c r="U434" s="49"/>
      <c r="V434" s="49"/>
      <c r="W434" s="49"/>
      <c r="X434" s="49"/>
      <c r="Y434" s="49"/>
      <c r="Z434" s="49"/>
    </row>
    <row r="435" spans="1:26" ht="15.5">
      <c r="A435" s="1"/>
      <c r="B435" s="1"/>
      <c r="C435" s="1"/>
      <c r="D435" s="1"/>
      <c r="E435" s="1"/>
      <c r="F435" s="1"/>
      <c r="G435" s="1"/>
      <c r="H435" s="49"/>
      <c r="I435" s="49"/>
      <c r="J435" s="49"/>
      <c r="K435" s="49"/>
      <c r="L435" s="49"/>
      <c r="M435" s="49"/>
      <c r="N435" s="49"/>
      <c r="O435" s="49"/>
      <c r="P435" s="49"/>
      <c r="Q435" s="49"/>
      <c r="R435" s="49"/>
      <c r="S435" s="49"/>
      <c r="T435" s="49"/>
      <c r="U435" s="49"/>
      <c r="V435" s="49"/>
      <c r="W435" s="49"/>
      <c r="X435" s="49"/>
      <c r="Y435" s="49"/>
      <c r="Z435" s="49"/>
    </row>
    <row r="436" spans="1:26" ht="15.5">
      <c r="A436" s="1"/>
      <c r="B436" s="1"/>
      <c r="C436" s="1"/>
      <c r="D436" s="1"/>
      <c r="E436" s="1"/>
      <c r="F436" s="1"/>
      <c r="G436" s="1"/>
      <c r="H436" s="49"/>
      <c r="I436" s="49"/>
      <c r="J436" s="49"/>
      <c r="K436" s="49"/>
      <c r="L436" s="49"/>
      <c r="M436" s="49"/>
      <c r="N436" s="49"/>
      <c r="O436" s="49"/>
      <c r="P436" s="49"/>
      <c r="Q436" s="49"/>
      <c r="R436" s="49"/>
      <c r="S436" s="49"/>
      <c r="T436" s="49"/>
      <c r="U436" s="49"/>
      <c r="V436" s="49"/>
      <c r="W436" s="49"/>
      <c r="X436" s="49"/>
      <c r="Y436" s="49"/>
      <c r="Z436" s="49"/>
    </row>
    <row r="437" spans="1:26" ht="15.5">
      <c r="A437" s="1"/>
      <c r="B437" s="1"/>
      <c r="C437" s="1"/>
      <c r="D437" s="1"/>
      <c r="E437" s="1"/>
      <c r="F437" s="1"/>
      <c r="G437" s="1"/>
      <c r="H437" s="49"/>
      <c r="I437" s="49"/>
      <c r="J437" s="49"/>
      <c r="K437" s="49"/>
      <c r="L437" s="49"/>
      <c r="M437" s="49"/>
      <c r="N437" s="49"/>
      <c r="O437" s="49"/>
      <c r="P437" s="49"/>
      <c r="Q437" s="49"/>
      <c r="R437" s="49"/>
      <c r="S437" s="49"/>
      <c r="T437" s="49"/>
      <c r="U437" s="49"/>
      <c r="V437" s="49"/>
      <c r="W437" s="49"/>
      <c r="X437" s="49"/>
      <c r="Y437" s="49"/>
      <c r="Z437" s="49"/>
    </row>
    <row r="438" spans="1:26" ht="15.5">
      <c r="A438" s="1"/>
      <c r="B438" s="1"/>
      <c r="C438" s="1"/>
      <c r="D438" s="1"/>
      <c r="E438" s="1"/>
      <c r="F438" s="1"/>
      <c r="G438" s="1"/>
      <c r="H438" s="49"/>
      <c r="I438" s="49"/>
      <c r="J438" s="49"/>
      <c r="K438" s="49"/>
      <c r="L438" s="49"/>
      <c r="M438" s="49"/>
      <c r="N438" s="49"/>
      <c r="O438" s="49"/>
      <c r="P438" s="49"/>
      <c r="Q438" s="49"/>
      <c r="R438" s="49"/>
      <c r="S438" s="49"/>
      <c r="T438" s="49"/>
      <c r="U438" s="49"/>
      <c r="V438" s="49"/>
      <c r="W438" s="49"/>
      <c r="X438" s="49"/>
      <c r="Y438" s="49"/>
      <c r="Z438" s="49"/>
    </row>
    <row r="439" spans="1:26" ht="15.5">
      <c r="A439" s="1"/>
      <c r="B439" s="1"/>
      <c r="C439" s="1"/>
      <c r="D439" s="1"/>
      <c r="E439" s="1"/>
      <c r="F439" s="1"/>
      <c r="G439" s="1"/>
      <c r="H439" s="49"/>
      <c r="I439" s="49"/>
      <c r="J439" s="49"/>
      <c r="K439" s="49"/>
      <c r="L439" s="49"/>
      <c r="M439" s="49"/>
      <c r="N439" s="49"/>
      <c r="O439" s="49"/>
      <c r="P439" s="49"/>
      <c r="Q439" s="49"/>
      <c r="R439" s="49"/>
      <c r="S439" s="49"/>
      <c r="T439" s="49"/>
      <c r="U439" s="49"/>
      <c r="V439" s="49"/>
      <c r="W439" s="49"/>
      <c r="X439" s="49"/>
      <c r="Y439" s="49"/>
      <c r="Z439" s="49"/>
    </row>
    <row r="440" spans="1:26" ht="15.5">
      <c r="A440" s="1"/>
      <c r="B440" s="1"/>
      <c r="C440" s="1"/>
      <c r="D440" s="1"/>
      <c r="E440" s="1"/>
      <c r="F440" s="1"/>
      <c r="G440" s="1"/>
      <c r="H440" s="49"/>
      <c r="I440" s="49"/>
      <c r="J440" s="49"/>
      <c r="K440" s="49"/>
      <c r="L440" s="49"/>
      <c r="M440" s="49"/>
      <c r="N440" s="49"/>
      <c r="O440" s="49"/>
      <c r="P440" s="49"/>
      <c r="Q440" s="49"/>
      <c r="R440" s="49"/>
      <c r="S440" s="49"/>
      <c r="T440" s="49"/>
      <c r="U440" s="49"/>
      <c r="V440" s="49"/>
      <c r="W440" s="49"/>
      <c r="X440" s="49"/>
      <c r="Y440" s="49"/>
      <c r="Z440" s="49"/>
    </row>
    <row r="441" spans="1:26" ht="15.5">
      <c r="A441" s="1"/>
      <c r="B441" s="1"/>
      <c r="C441" s="1"/>
      <c r="D441" s="1"/>
      <c r="E441" s="1"/>
      <c r="F441" s="1"/>
      <c r="G441" s="1"/>
      <c r="H441" s="49"/>
      <c r="I441" s="49"/>
      <c r="J441" s="49"/>
      <c r="K441" s="49"/>
      <c r="L441" s="49"/>
      <c r="M441" s="49"/>
      <c r="N441" s="49"/>
      <c r="O441" s="49"/>
      <c r="P441" s="49"/>
      <c r="Q441" s="49"/>
      <c r="R441" s="49"/>
      <c r="S441" s="49"/>
      <c r="T441" s="49"/>
      <c r="U441" s="49"/>
      <c r="V441" s="49"/>
      <c r="W441" s="49"/>
      <c r="X441" s="49"/>
      <c r="Y441" s="49"/>
      <c r="Z441" s="49"/>
    </row>
    <row r="442" spans="1:26" ht="15.5">
      <c r="A442" s="1"/>
      <c r="B442" s="1"/>
      <c r="C442" s="1"/>
      <c r="D442" s="1"/>
      <c r="E442" s="1"/>
      <c r="F442" s="1"/>
      <c r="G442" s="1"/>
      <c r="H442" s="49"/>
      <c r="I442" s="49"/>
      <c r="J442" s="49"/>
      <c r="K442" s="49"/>
      <c r="L442" s="49"/>
      <c r="M442" s="49"/>
      <c r="N442" s="49"/>
      <c r="O442" s="49"/>
      <c r="P442" s="49"/>
      <c r="Q442" s="49"/>
      <c r="R442" s="49"/>
      <c r="S442" s="49"/>
      <c r="T442" s="49"/>
      <c r="U442" s="49"/>
      <c r="V442" s="49"/>
      <c r="W442" s="49"/>
      <c r="X442" s="49"/>
      <c r="Y442" s="49"/>
      <c r="Z442" s="49"/>
    </row>
    <row r="443" spans="1:26" ht="15.5">
      <c r="A443" s="1"/>
      <c r="B443" s="1"/>
      <c r="C443" s="1"/>
      <c r="D443" s="1"/>
      <c r="E443" s="1"/>
      <c r="F443" s="1"/>
      <c r="G443" s="1"/>
      <c r="H443" s="49"/>
      <c r="I443" s="49"/>
      <c r="J443" s="49"/>
      <c r="K443" s="49"/>
      <c r="L443" s="49"/>
      <c r="M443" s="49"/>
      <c r="N443" s="49"/>
      <c r="O443" s="49"/>
      <c r="P443" s="49"/>
      <c r="Q443" s="49"/>
      <c r="R443" s="49"/>
      <c r="S443" s="49"/>
      <c r="T443" s="49"/>
      <c r="U443" s="49"/>
      <c r="V443" s="49"/>
      <c r="W443" s="49"/>
      <c r="X443" s="49"/>
      <c r="Y443" s="49"/>
      <c r="Z443" s="49"/>
    </row>
    <row r="444" spans="1:26" ht="15.5">
      <c r="A444" s="1"/>
      <c r="B444" s="1"/>
      <c r="C444" s="1"/>
      <c r="D444" s="1"/>
      <c r="E444" s="1"/>
      <c r="F444" s="1"/>
      <c r="G444" s="1"/>
      <c r="H444" s="49"/>
      <c r="I444" s="49"/>
      <c r="J444" s="49"/>
      <c r="K444" s="49"/>
      <c r="L444" s="49"/>
      <c r="M444" s="49"/>
      <c r="N444" s="49"/>
      <c r="O444" s="49"/>
      <c r="P444" s="49"/>
      <c r="Q444" s="49"/>
      <c r="R444" s="49"/>
      <c r="S444" s="49"/>
      <c r="T444" s="49"/>
      <c r="U444" s="49"/>
      <c r="V444" s="49"/>
      <c r="W444" s="49"/>
      <c r="X444" s="49"/>
      <c r="Y444" s="49"/>
      <c r="Z444" s="49"/>
    </row>
    <row r="445" spans="1:26" ht="15.5">
      <c r="A445" s="1"/>
      <c r="B445" s="1"/>
      <c r="C445" s="1"/>
      <c r="D445" s="1"/>
      <c r="E445" s="1"/>
      <c r="F445" s="1"/>
      <c r="G445" s="1"/>
      <c r="H445" s="49"/>
      <c r="I445" s="49"/>
      <c r="J445" s="49"/>
      <c r="K445" s="49"/>
      <c r="L445" s="49"/>
      <c r="M445" s="49"/>
      <c r="N445" s="49"/>
      <c r="O445" s="49"/>
      <c r="P445" s="49"/>
      <c r="Q445" s="49"/>
      <c r="R445" s="49"/>
      <c r="S445" s="49"/>
      <c r="T445" s="49"/>
      <c r="U445" s="49"/>
      <c r="V445" s="49"/>
      <c r="W445" s="49"/>
      <c r="X445" s="49"/>
      <c r="Y445" s="49"/>
      <c r="Z445" s="49"/>
    </row>
    <row r="446" spans="1:26" ht="15.5">
      <c r="A446" s="1"/>
      <c r="B446" s="1"/>
      <c r="C446" s="1"/>
      <c r="D446" s="1"/>
      <c r="E446" s="1"/>
      <c r="F446" s="1"/>
      <c r="G446" s="1"/>
      <c r="H446" s="49"/>
      <c r="I446" s="49"/>
      <c r="J446" s="49"/>
      <c r="K446" s="49"/>
      <c r="L446" s="49"/>
      <c r="M446" s="49"/>
      <c r="N446" s="49"/>
      <c r="O446" s="49"/>
      <c r="P446" s="49"/>
      <c r="Q446" s="49"/>
      <c r="R446" s="49"/>
      <c r="S446" s="49"/>
      <c r="T446" s="49"/>
      <c r="U446" s="49"/>
      <c r="V446" s="49"/>
      <c r="W446" s="49"/>
      <c r="X446" s="49"/>
      <c r="Y446" s="49"/>
      <c r="Z446" s="49"/>
    </row>
    <row r="447" spans="1:26" ht="15.5">
      <c r="A447" s="1"/>
      <c r="B447" s="1"/>
      <c r="C447" s="1"/>
      <c r="D447" s="1"/>
      <c r="E447" s="1"/>
      <c r="F447" s="1"/>
      <c r="G447" s="1"/>
      <c r="H447" s="49"/>
      <c r="I447" s="49"/>
      <c r="J447" s="49"/>
      <c r="K447" s="49"/>
      <c r="L447" s="49"/>
      <c r="M447" s="49"/>
      <c r="N447" s="49"/>
      <c r="O447" s="49"/>
      <c r="P447" s="49"/>
      <c r="Q447" s="49"/>
      <c r="R447" s="49"/>
      <c r="S447" s="49"/>
      <c r="T447" s="49"/>
      <c r="U447" s="49"/>
      <c r="V447" s="49"/>
      <c r="W447" s="49"/>
      <c r="X447" s="49"/>
      <c r="Y447" s="49"/>
      <c r="Z447" s="49"/>
    </row>
    <row r="448" spans="1:26" ht="15.5">
      <c r="A448" s="1"/>
      <c r="B448" s="1"/>
      <c r="C448" s="1"/>
      <c r="D448" s="1"/>
      <c r="E448" s="1"/>
      <c r="F448" s="1"/>
      <c r="G448" s="1"/>
      <c r="H448" s="49"/>
      <c r="I448" s="49"/>
      <c r="J448" s="49"/>
      <c r="K448" s="49"/>
      <c r="L448" s="49"/>
      <c r="M448" s="49"/>
      <c r="N448" s="49"/>
      <c r="O448" s="49"/>
      <c r="P448" s="49"/>
      <c r="Q448" s="49"/>
      <c r="R448" s="49"/>
      <c r="S448" s="49"/>
      <c r="T448" s="49"/>
      <c r="U448" s="49"/>
      <c r="V448" s="49"/>
      <c r="W448" s="49"/>
      <c r="X448" s="49"/>
      <c r="Y448" s="49"/>
      <c r="Z448" s="49"/>
    </row>
    <row r="449" spans="1:26" ht="15.5">
      <c r="A449" s="1"/>
      <c r="B449" s="1"/>
      <c r="C449" s="1"/>
      <c r="D449" s="1"/>
      <c r="E449" s="1"/>
      <c r="F449" s="1"/>
      <c r="G449" s="1"/>
      <c r="H449" s="49"/>
      <c r="I449" s="49"/>
      <c r="J449" s="49"/>
      <c r="K449" s="49"/>
      <c r="L449" s="49"/>
      <c r="M449" s="49"/>
      <c r="N449" s="49"/>
      <c r="O449" s="49"/>
      <c r="P449" s="49"/>
      <c r="Q449" s="49"/>
      <c r="R449" s="49"/>
      <c r="S449" s="49"/>
      <c r="T449" s="49"/>
      <c r="U449" s="49"/>
      <c r="V449" s="49"/>
      <c r="W449" s="49"/>
      <c r="X449" s="49"/>
      <c r="Y449" s="49"/>
      <c r="Z449" s="49"/>
    </row>
    <row r="450" spans="1:26" ht="15.5">
      <c r="A450" s="1"/>
      <c r="B450" s="1"/>
      <c r="C450" s="1"/>
      <c r="D450" s="1"/>
      <c r="E450" s="1"/>
      <c r="F450" s="1"/>
      <c r="G450" s="1"/>
      <c r="H450" s="49"/>
      <c r="I450" s="49"/>
      <c r="J450" s="49"/>
      <c r="K450" s="49"/>
      <c r="L450" s="49"/>
      <c r="M450" s="49"/>
      <c r="N450" s="49"/>
      <c r="O450" s="49"/>
      <c r="P450" s="49"/>
      <c r="Q450" s="49"/>
      <c r="R450" s="49"/>
      <c r="S450" s="49"/>
      <c r="T450" s="49"/>
      <c r="U450" s="49"/>
      <c r="V450" s="49"/>
      <c r="W450" s="49"/>
      <c r="X450" s="49"/>
      <c r="Y450" s="49"/>
      <c r="Z450" s="49"/>
    </row>
    <row r="451" spans="1:26" ht="15.5">
      <c r="A451" s="1"/>
      <c r="B451" s="1"/>
      <c r="C451" s="1"/>
      <c r="D451" s="1"/>
      <c r="E451" s="1"/>
      <c r="F451" s="1"/>
      <c r="G451" s="1"/>
      <c r="H451" s="49"/>
      <c r="I451" s="49"/>
      <c r="J451" s="49"/>
      <c r="K451" s="49"/>
      <c r="L451" s="49"/>
      <c r="M451" s="49"/>
      <c r="N451" s="49"/>
      <c r="O451" s="49"/>
      <c r="P451" s="49"/>
      <c r="Q451" s="49"/>
      <c r="R451" s="49"/>
      <c r="S451" s="49"/>
      <c r="T451" s="49"/>
      <c r="U451" s="49"/>
      <c r="V451" s="49"/>
      <c r="W451" s="49"/>
      <c r="X451" s="49"/>
      <c r="Y451" s="49"/>
      <c r="Z451" s="49"/>
    </row>
    <row r="452" spans="1:26" ht="15.5">
      <c r="A452" s="1"/>
      <c r="B452" s="1"/>
      <c r="C452" s="1"/>
      <c r="D452" s="1"/>
      <c r="E452" s="1"/>
      <c r="F452" s="1"/>
      <c r="G452" s="1"/>
      <c r="H452" s="49"/>
      <c r="I452" s="49"/>
      <c r="J452" s="49"/>
      <c r="K452" s="49"/>
      <c r="L452" s="49"/>
      <c r="M452" s="49"/>
      <c r="N452" s="49"/>
      <c r="O452" s="49"/>
      <c r="P452" s="49"/>
      <c r="Q452" s="49"/>
      <c r="R452" s="49"/>
      <c r="S452" s="49"/>
      <c r="T452" s="49"/>
      <c r="U452" s="49"/>
      <c r="V452" s="49"/>
      <c r="W452" s="49"/>
      <c r="X452" s="49"/>
      <c r="Y452" s="49"/>
      <c r="Z452" s="49"/>
    </row>
    <row r="453" spans="1:26" ht="15.5">
      <c r="A453" s="1"/>
      <c r="B453" s="1"/>
      <c r="C453" s="1"/>
      <c r="D453" s="1"/>
      <c r="E453" s="1"/>
      <c r="F453" s="1"/>
      <c r="G453" s="1"/>
      <c r="H453" s="49"/>
      <c r="I453" s="49"/>
      <c r="J453" s="49"/>
      <c r="K453" s="49"/>
      <c r="L453" s="49"/>
      <c r="M453" s="49"/>
      <c r="N453" s="49"/>
      <c r="O453" s="49"/>
      <c r="P453" s="49"/>
      <c r="Q453" s="49"/>
      <c r="R453" s="49"/>
      <c r="S453" s="49"/>
      <c r="T453" s="49"/>
      <c r="U453" s="49"/>
      <c r="V453" s="49"/>
      <c r="W453" s="49"/>
      <c r="X453" s="49"/>
      <c r="Y453" s="49"/>
      <c r="Z453" s="49"/>
    </row>
    <row r="454" spans="1:26" ht="15.5">
      <c r="A454" s="1"/>
      <c r="B454" s="1"/>
      <c r="C454" s="1"/>
      <c r="D454" s="1"/>
      <c r="E454" s="1"/>
      <c r="F454" s="1"/>
      <c r="G454" s="1"/>
      <c r="H454" s="49"/>
      <c r="I454" s="49"/>
      <c r="J454" s="49"/>
      <c r="K454" s="49"/>
      <c r="L454" s="49"/>
      <c r="M454" s="49"/>
      <c r="N454" s="49"/>
      <c r="O454" s="49"/>
      <c r="P454" s="49"/>
      <c r="Q454" s="49"/>
      <c r="R454" s="49"/>
      <c r="S454" s="49"/>
      <c r="T454" s="49"/>
      <c r="U454" s="49"/>
      <c r="V454" s="49"/>
      <c r="W454" s="49"/>
      <c r="X454" s="49"/>
      <c r="Y454" s="49"/>
      <c r="Z454" s="49"/>
    </row>
    <row r="455" spans="1:26" ht="15.5">
      <c r="A455" s="1"/>
      <c r="B455" s="1"/>
      <c r="C455" s="1"/>
      <c r="D455" s="1"/>
      <c r="E455" s="1"/>
      <c r="F455" s="1"/>
      <c r="G455" s="1"/>
      <c r="H455" s="49"/>
      <c r="I455" s="49"/>
      <c r="J455" s="49"/>
      <c r="K455" s="49"/>
      <c r="L455" s="49"/>
      <c r="M455" s="49"/>
      <c r="N455" s="49"/>
      <c r="O455" s="49"/>
      <c r="P455" s="49"/>
      <c r="Q455" s="49"/>
      <c r="R455" s="49"/>
      <c r="S455" s="49"/>
      <c r="T455" s="49"/>
      <c r="U455" s="49"/>
      <c r="V455" s="49"/>
      <c r="W455" s="49"/>
      <c r="X455" s="49"/>
      <c r="Y455" s="49"/>
      <c r="Z455" s="49"/>
    </row>
    <row r="456" spans="1:26" ht="15.5">
      <c r="A456" s="1"/>
      <c r="B456" s="1"/>
      <c r="C456" s="1"/>
      <c r="D456" s="1"/>
      <c r="E456" s="1"/>
      <c r="F456" s="1"/>
      <c r="G456" s="1"/>
      <c r="H456" s="49"/>
      <c r="I456" s="49"/>
      <c r="J456" s="49"/>
      <c r="K456" s="49"/>
      <c r="L456" s="49"/>
      <c r="M456" s="49"/>
      <c r="N456" s="49"/>
      <c r="O456" s="49"/>
      <c r="P456" s="49"/>
      <c r="Q456" s="49"/>
      <c r="R456" s="49"/>
      <c r="S456" s="49"/>
      <c r="T456" s="49"/>
      <c r="U456" s="49"/>
      <c r="V456" s="49"/>
      <c r="W456" s="49"/>
      <c r="X456" s="49"/>
      <c r="Y456" s="49"/>
      <c r="Z456" s="49"/>
    </row>
    <row r="457" spans="1:26" ht="15.5">
      <c r="A457" s="1"/>
      <c r="B457" s="1"/>
      <c r="C457" s="1"/>
      <c r="D457" s="1"/>
      <c r="E457" s="1"/>
      <c r="F457" s="1"/>
      <c r="G457" s="1"/>
      <c r="H457" s="49"/>
      <c r="I457" s="49"/>
      <c r="J457" s="49"/>
      <c r="K457" s="49"/>
      <c r="L457" s="49"/>
      <c r="M457" s="49"/>
      <c r="N457" s="49"/>
      <c r="O457" s="49"/>
      <c r="P457" s="49"/>
      <c r="Q457" s="49"/>
      <c r="R457" s="49"/>
      <c r="S457" s="49"/>
      <c r="T457" s="49"/>
      <c r="U457" s="49"/>
      <c r="V457" s="49"/>
      <c r="W457" s="49"/>
      <c r="X457" s="49"/>
      <c r="Y457" s="49"/>
      <c r="Z457" s="49"/>
    </row>
    <row r="458" spans="1:26" ht="15.5">
      <c r="A458" s="1"/>
      <c r="B458" s="1"/>
      <c r="C458" s="1"/>
      <c r="D458" s="1"/>
      <c r="E458" s="1"/>
      <c r="F458" s="1"/>
      <c r="G458" s="1"/>
      <c r="H458" s="49"/>
      <c r="I458" s="49"/>
      <c r="J458" s="49"/>
      <c r="K458" s="49"/>
      <c r="L458" s="49"/>
      <c r="M458" s="49"/>
      <c r="N458" s="49"/>
      <c r="O458" s="49"/>
      <c r="P458" s="49"/>
      <c r="Q458" s="49"/>
      <c r="R458" s="49"/>
      <c r="S458" s="49"/>
      <c r="T458" s="49"/>
      <c r="U458" s="49"/>
      <c r="V458" s="49"/>
      <c r="W458" s="49"/>
      <c r="X458" s="49"/>
      <c r="Y458" s="49"/>
      <c r="Z458" s="49"/>
    </row>
    <row r="459" spans="1:26" ht="15.5">
      <c r="A459" s="1"/>
      <c r="B459" s="1"/>
      <c r="C459" s="1"/>
      <c r="D459" s="1"/>
      <c r="E459" s="1"/>
      <c r="F459" s="1"/>
      <c r="G459" s="1"/>
      <c r="H459" s="49"/>
      <c r="I459" s="49"/>
      <c r="J459" s="49"/>
      <c r="K459" s="49"/>
      <c r="L459" s="49"/>
      <c r="M459" s="49"/>
      <c r="N459" s="49"/>
      <c r="O459" s="49"/>
      <c r="P459" s="49"/>
      <c r="Q459" s="49"/>
      <c r="R459" s="49"/>
      <c r="S459" s="49"/>
      <c r="T459" s="49"/>
      <c r="U459" s="49"/>
      <c r="V459" s="49"/>
      <c r="W459" s="49"/>
      <c r="X459" s="49"/>
      <c r="Y459" s="49"/>
      <c r="Z459" s="49"/>
    </row>
    <row r="460" spans="1:26" ht="15.5">
      <c r="A460" s="1"/>
      <c r="B460" s="1"/>
      <c r="C460" s="1"/>
      <c r="D460" s="1"/>
      <c r="E460" s="1"/>
      <c r="F460" s="1"/>
      <c r="G460" s="1"/>
      <c r="H460" s="49"/>
      <c r="I460" s="49"/>
      <c r="J460" s="49"/>
      <c r="K460" s="49"/>
      <c r="L460" s="49"/>
      <c r="M460" s="49"/>
      <c r="N460" s="49"/>
      <c r="O460" s="49"/>
      <c r="P460" s="49"/>
      <c r="Q460" s="49"/>
      <c r="R460" s="49"/>
      <c r="S460" s="49"/>
      <c r="T460" s="49"/>
      <c r="U460" s="49"/>
      <c r="V460" s="49"/>
      <c r="W460" s="49"/>
      <c r="X460" s="49"/>
      <c r="Y460" s="49"/>
      <c r="Z460" s="49"/>
    </row>
    <row r="461" spans="1:26" ht="15.5">
      <c r="A461" s="1"/>
      <c r="B461" s="1"/>
      <c r="C461" s="1"/>
      <c r="D461" s="1"/>
      <c r="E461" s="1"/>
      <c r="F461" s="1"/>
      <c r="G461" s="1"/>
      <c r="H461" s="49"/>
      <c r="I461" s="49"/>
      <c r="J461" s="49"/>
      <c r="K461" s="49"/>
      <c r="L461" s="49"/>
      <c r="M461" s="49"/>
      <c r="N461" s="49"/>
      <c r="O461" s="49"/>
      <c r="P461" s="49"/>
      <c r="Q461" s="49"/>
      <c r="R461" s="49"/>
      <c r="S461" s="49"/>
      <c r="T461" s="49"/>
      <c r="U461" s="49"/>
      <c r="V461" s="49"/>
      <c r="W461" s="49"/>
      <c r="X461" s="49"/>
      <c r="Y461" s="49"/>
      <c r="Z461" s="49"/>
    </row>
    <row r="462" spans="1:26" ht="15.5">
      <c r="A462" s="1"/>
      <c r="B462" s="1"/>
      <c r="C462" s="1"/>
      <c r="D462" s="1"/>
      <c r="E462" s="1"/>
      <c r="F462" s="1"/>
      <c r="G462" s="1"/>
      <c r="H462" s="49"/>
      <c r="I462" s="49"/>
      <c r="J462" s="49"/>
      <c r="K462" s="49"/>
      <c r="L462" s="49"/>
      <c r="M462" s="49"/>
      <c r="N462" s="49"/>
      <c r="O462" s="49"/>
      <c r="P462" s="49"/>
      <c r="Q462" s="49"/>
      <c r="R462" s="49"/>
      <c r="S462" s="49"/>
      <c r="T462" s="49"/>
      <c r="U462" s="49"/>
      <c r="V462" s="49"/>
      <c r="W462" s="49"/>
      <c r="X462" s="49"/>
      <c r="Y462" s="49"/>
      <c r="Z462" s="49"/>
    </row>
    <row r="463" spans="1:26" ht="15.5">
      <c r="A463" s="1"/>
      <c r="B463" s="1"/>
      <c r="C463" s="1"/>
      <c r="D463" s="1"/>
      <c r="E463" s="1"/>
      <c r="F463" s="1"/>
      <c r="G463" s="1"/>
      <c r="H463" s="49"/>
      <c r="I463" s="49"/>
      <c r="J463" s="49"/>
      <c r="K463" s="49"/>
      <c r="L463" s="49"/>
      <c r="M463" s="49"/>
      <c r="N463" s="49"/>
      <c r="O463" s="49"/>
      <c r="P463" s="49"/>
      <c r="Q463" s="49"/>
      <c r="R463" s="49"/>
      <c r="S463" s="49"/>
      <c r="T463" s="49"/>
      <c r="U463" s="49"/>
      <c r="V463" s="49"/>
      <c r="W463" s="49"/>
      <c r="X463" s="49"/>
      <c r="Y463" s="49"/>
      <c r="Z463" s="49"/>
    </row>
    <row r="464" spans="1:26" ht="15.5">
      <c r="A464" s="1"/>
      <c r="B464" s="1"/>
      <c r="C464" s="1"/>
      <c r="D464" s="1"/>
      <c r="E464" s="1"/>
      <c r="F464" s="1"/>
      <c r="G464" s="1"/>
      <c r="H464" s="49"/>
      <c r="I464" s="49"/>
      <c r="J464" s="49"/>
      <c r="K464" s="49"/>
      <c r="L464" s="49"/>
      <c r="M464" s="49"/>
      <c r="N464" s="49"/>
      <c r="O464" s="49"/>
      <c r="P464" s="49"/>
      <c r="Q464" s="49"/>
      <c r="R464" s="49"/>
      <c r="S464" s="49"/>
      <c r="T464" s="49"/>
      <c r="U464" s="49"/>
      <c r="V464" s="49"/>
      <c r="W464" s="49"/>
      <c r="X464" s="49"/>
      <c r="Y464" s="49"/>
      <c r="Z464" s="49"/>
    </row>
    <row r="465" spans="1:26" ht="15.5">
      <c r="A465" s="1"/>
      <c r="B465" s="1"/>
      <c r="C465" s="1"/>
      <c r="D465" s="1"/>
      <c r="E465" s="1"/>
      <c r="F465" s="1"/>
      <c r="G465" s="1"/>
      <c r="H465" s="49"/>
      <c r="I465" s="49"/>
      <c r="J465" s="49"/>
      <c r="K465" s="49"/>
      <c r="L465" s="49"/>
      <c r="M465" s="49"/>
      <c r="N465" s="49"/>
      <c r="O465" s="49"/>
      <c r="P465" s="49"/>
      <c r="Q465" s="49"/>
      <c r="R465" s="49"/>
      <c r="S465" s="49"/>
      <c r="T465" s="49"/>
      <c r="U465" s="49"/>
      <c r="V465" s="49"/>
      <c r="W465" s="49"/>
      <c r="X465" s="49"/>
      <c r="Y465" s="49"/>
      <c r="Z465" s="49"/>
    </row>
    <row r="466" spans="1:26" ht="15.5">
      <c r="A466" s="1"/>
      <c r="B466" s="1"/>
      <c r="C466" s="1"/>
      <c r="D466" s="1"/>
      <c r="E466" s="1"/>
      <c r="F466" s="1"/>
      <c r="G466" s="1"/>
      <c r="H466" s="49"/>
      <c r="I466" s="49"/>
      <c r="J466" s="49"/>
      <c r="K466" s="49"/>
      <c r="L466" s="49"/>
      <c r="M466" s="49"/>
      <c r="N466" s="49"/>
      <c r="O466" s="49"/>
      <c r="P466" s="49"/>
      <c r="Q466" s="49"/>
      <c r="R466" s="49"/>
      <c r="S466" s="49"/>
      <c r="T466" s="49"/>
      <c r="U466" s="49"/>
      <c r="V466" s="49"/>
      <c r="W466" s="49"/>
      <c r="X466" s="49"/>
      <c r="Y466" s="49"/>
      <c r="Z466" s="49"/>
    </row>
    <row r="467" spans="1:26" ht="15.5">
      <c r="A467" s="1"/>
      <c r="B467" s="1"/>
      <c r="C467" s="1"/>
      <c r="D467" s="1"/>
      <c r="E467" s="1"/>
      <c r="F467" s="1"/>
      <c r="G467" s="1"/>
      <c r="H467" s="49"/>
      <c r="I467" s="49"/>
      <c r="J467" s="49"/>
      <c r="K467" s="49"/>
      <c r="L467" s="49"/>
      <c r="M467" s="49"/>
      <c r="N467" s="49"/>
      <c r="O467" s="49"/>
      <c r="P467" s="49"/>
      <c r="Q467" s="49"/>
      <c r="R467" s="49"/>
      <c r="S467" s="49"/>
      <c r="T467" s="49"/>
      <c r="U467" s="49"/>
      <c r="V467" s="49"/>
      <c r="W467" s="49"/>
      <c r="X467" s="49"/>
      <c r="Y467" s="49"/>
      <c r="Z467" s="49"/>
    </row>
    <row r="468" spans="1:26" ht="15.5">
      <c r="A468" s="1"/>
      <c r="B468" s="1"/>
      <c r="C468" s="1"/>
      <c r="D468" s="1"/>
      <c r="E468" s="1"/>
      <c r="F468" s="1"/>
      <c r="G468" s="1"/>
      <c r="H468" s="49"/>
      <c r="I468" s="49"/>
      <c r="J468" s="49"/>
      <c r="K468" s="49"/>
      <c r="L468" s="49"/>
      <c r="M468" s="49"/>
      <c r="N468" s="49"/>
      <c r="O468" s="49"/>
      <c r="P468" s="49"/>
      <c r="Q468" s="49"/>
      <c r="R468" s="49"/>
      <c r="S468" s="49"/>
      <c r="T468" s="49"/>
      <c r="U468" s="49"/>
      <c r="V468" s="49"/>
      <c r="W468" s="49"/>
      <c r="X468" s="49"/>
      <c r="Y468" s="49"/>
      <c r="Z468" s="49"/>
    </row>
    <row r="469" spans="1:26" ht="15.5">
      <c r="A469" s="1"/>
      <c r="B469" s="1"/>
      <c r="C469" s="1"/>
      <c r="D469" s="1"/>
      <c r="E469" s="1"/>
      <c r="F469" s="1"/>
      <c r="G469" s="1"/>
      <c r="H469" s="49"/>
      <c r="I469" s="49"/>
      <c r="J469" s="49"/>
      <c r="K469" s="49"/>
      <c r="L469" s="49"/>
      <c r="M469" s="49"/>
      <c r="N469" s="49"/>
      <c r="O469" s="49"/>
      <c r="P469" s="49"/>
      <c r="Q469" s="49"/>
      <c r="R469" s="49"/>
      <c r="S469" s="49"/>
      <c r="T469" s="49"/>
      <c r="U469" s="49"/>
      <c r="V469" s="49"/>
      <c r="W469" s="49"/>
      <c r="X469" s="49"/>
      <c r="Y469" s="49"/>
      <c r="Z469" s="49"/>
    </row>
    <row r="470" spans="1:26" ht="15.5">
      <c r="A470" s="1"/>
      <c r="B470" s="1"/>
      <c r="C470" s="1"/>
      <c r="D470" s="1"/>
      <c r="E470" s="1"/>
      <c r="F470" s="1"/>
      <c r="G470" s="1"/>
      <c r="H470" s="49"/>
      <c r="I470" s="49"/>
      <c r="J470" s="49"/>
      <c r="K470" s="49"/>
      <c r="L470" s="49"/>
      <c r="M470" s="49"/>
      <c r="N470" s="49"/>
      <c r="O470" s="49"/>
      <c r="P470" s="49"/>
      <c r="Q470" s="49"/>
      <c r="R470" s="49"/>
      <c r="S470" s="49"/>
      <c r="T470" s="49"/>
      <c r="U470" s="49"/>
      <c r="V470" s="49"/>
      <c r="W470" s="49"/>
      <c r="X470" s="49"/>
      <c r="Y470" s="49"/>
      <c r="Z470" s="49"/>
    </row>
    <row r="471" spans="1:26" ht="15.5">
      <c r="A471" s="1"/>
      <c r="B471" s="1"/>
      <c r="C471" s="1"/>
      <c r="D471" s="1"/>
      <c r="E471" s="1"/>
      <c r="F471" s="1"/>
      <c r="G471" s="1"/>
      <c r="H471" s="49"/>
      <c r="I471" s="49"/>
      <c r="J471" s="49"/>
      <c r="K471" s="49"/>
      <c r="L471" s="49"/>
      <c r="M471" s="49"/>
      <c r="N471" s="49"/>
      <c r="O471" s="49"/>
      <c r="P471" s="49"/>
      <c r="Q471" s="49"/>
      <c r="R471" s="49"/>
      <c r="S471" s="49"/>
      <c r="T471" s="49"/>
      <c r="U471" s="49"/>
      <c r="V471" s="49"/>
      <c r="W471" s="49"/>
      <c r="X471" s="49"/>
      <c r="Y471" s="49"/>
      <c r="Z471" s="49"/>
    </row>
    <row r="472" spans="1:26" ht="15.5">
      <c r="A472" s="1"/>
      <c r="B472" s="1"/>
      <c r="C472" s="1"/>
      <c r="D472" s="1"/>
      <c r="E472" s="1"/>
      <c r="F472" s="1"/>
      <c r="G472" s="1"/>
      <c r="H472" s="49"/>
      <c r="I472" s="49"/>
      <c r="J472" s="49"/>
      <c r="K472" s="49"/>
      <c r="L472" s="49"/>
      <c r="M472" s="49"/>
      <c r="N472" s="49"/>
      <c r="O472" s="49"/>
      <c r="P472" s="49"/>
      <c r="Q472" s="49"/>
      <c r="R472" s="49"/>
      <c r="S472" s="49"/>
      <c r="T472" s="49"/>
      <c r="U472" s="49"/>
      <c r="V472" s="49"/>
      <c r="W472" s="49"/>
      <c r="X472" s="49"/>
      <c r="Y472" s="49"/>
      <c r="Z472" s="49"/>
    </row>
    <row r="473" spans="1:26" ht="15.5">
      <c r="A473" s="1"/>
      <c r="B473" s="1"/>
      <c r="C473" s="1"/>
      <c r="D473" s="1"/>
      <c r="E473" s="1"/>
      <c r="F473" s="1"/>
      <c r="G473" s="1"/>
      <c r="H473" s="49"/>
      <c r="I473" s="49"/>
      <c r="J473" s="49"/>
      <c r="K473" s="49"/>
      <c r="L473" s="49"/>
      <c r="M473" s="49"/>
      <c r="N473" s="49"/>
      <c r="O473" s="49"/>
      <c r="P473" s="49"/>
      <c r="Q473" s="49"/>
      <c r="R473" s="49"/>
      <c r="S473" s="49"/>
      <c r="T473" s="49"/>
      <c r="U473" s="49"/>
      <c r="V473" s="49"/>
      <c r="W473" s="49"/>
      <c r="X473" s="49"/>
      <c r="Y473" s="49"/>
      <c r="Z473" s="49"/>
    </row>
    <row r="474" spans="1:26" ht="15.5">
      <c r="A474" s="1"/>
      <c r="B474" s="1"/>
      <c r="C474" s="1"/>
      <c r="D474" s="1"/>
      <c r="E474" s="1"/>
      <c r="F474" s="1"/>
      <c r="G474" s="1"/>
      <c r="H474" s="49"/>
      <c r="I474" s="49"/>
      <c r="J474" s="49"/>
      <c r="K474" s="49"/>
      <c r="L474" s="49"/>
      <c r="M474" s="49"/>
      <c r="N474" s="49"/>
      <c r="O474" s="49"/>
      <c r="P474" s="49"/>
      <c r="Q474" s="49"/>
      <c r="R474" s="49"/>
      <c r="S474" s="49"/>
      <c r="T474" s="49"/>
      <c r="U474" s="49"/>
      <c r="V474" s="49"/>
      <c r="W474" s="49"/>
      <c r="X474" s="49"/>
      <c r="Y474" s="49"/>
      <c r="Z474" s="49"/>
    </row>
    <row r="475" spans="1:26" ht="15.5">
      <c r="A475" s="1"/>
      <c r="B475" s="1"/>
      <c r="C475" s="1"/>
      <c r="D475" s="1"/>
      <c r="E475" s="1"/>
      <c r="F475" s="1"/>
      <c r="G475" s="1"/>
      <c r="H475" s="49"/>
      <c r="I475" s="49"/>
      <c r="J475" s="49"/>
      <c r="K475" s="49"/>
      <c r="L475" s="49"/>
      <c r="M475" s="49"/>
      <c r="N475" s="49"/>
      <c r="O475" s="49"/>
      <c r="P475" s="49"/>
      <c r="Q475" s="49"/>
      <c r="R475" s="49"/>
      <c r="S475" s="49"/>
      <c r="T475" s="49"/>
      <c r="U475" s="49"/>
      <c r="V475" s="49"/>
      <c r="W475" s="49"/>
      <c r="X475" s="49"/>
      <c r="Y475" s="49"/>
      <c r="Z475" s="49"/>
    </row>
    <row r="476" spans="1:26" ht="15.5">
      <c r="A476" s="1"/>
      <c r="B476" s="1"/>
      <c r="C476" s="1"/>
      <c r="D476" s="1"/>
      <c r="E476" s="1"/>
      <c r="F476" s="1"/>
      <c r="G476" s="1"/>
      <c r="H476" s="49"/>
      <c r="I476" s="49"/>
      <c r="J476" s="49"/>
      <c r="K476" s="49"/>
      <c r="L476" s="49"/>
      <c r="M476" s="49"/>
      <c r="N476" s="49"/>
      <c r="O476" s="49"/>
      <c r="P476" s="49"/>
      <c r="Q476" s="49"/>
      <c r="R476" s="49"/>
      <c r="S476" s="49"/>
      <c r="T476" s="49"/>
      <c r="U476" s="49"/>
      <c r="V476" s="49"/>
      <c r="W476" s="49"/>
      <c r="X476" s="49"/>
      <c r="Y476" s="49"/>
      <c r="Z476" s="49"/>
    </row>
    <row r="477" spans="1:26" ht="15.5">
      <c r="A477" s="1"/>
      <c r="B477" s="1"/>
      <c r="C477" s="1"/>
      <c r="D477" s="1"/>
      <c r="E477" s="1"/>
      <c r="F477" s="1"/>
      <c r="G477" s="1"/>
      <c r="H477" s="49"/>
      <c r="I477" s="49"/>
      <c r="J477" s="49"/>
      <c r="K477" s="49"/>
      <c r="L477" s="49"/>
      <c r="M477" s="49"/>
      <c r="N477" s="49"/>
      <c r="O477" s="49"/>
      <c r="P477" s="49"/>
      <c r="Q477" s="49"/>
      <c r="R477" s="49"/>
      <c r="S477" s="49"/>
      <c r="T477" s="49"/>
      <c r="U477" s="49"/>
      <c r="V477" s="49"/>
      <c r="W477" s="49"/>
      <c r="X477" s="49"/>
      <c r="Y477" s="49"/>
      <c r="Z477" s="49"/>
    </row>
    <row r="478" spans="1:26" ht="15.5">
      <c r="A478" s="1"/>
      <c r="B478" s="1"/>
      <c r="C478" s="1"/>
      <c r="D478" s="1"/>
      <c r="E478" s="1"/>
      <c r="F478" s="1"/>
      <c r="G478" s="1"/>
      <c r="H478" s="49"/>
      <c r="I478" s="49"/>
      <c r="J478" s="49"/>
      <c r="K478" s="49"/>
      <c r="L478" s="49"/>
      <c r="M478" s="49"/>
      <c r="N478" s="49"/>
      <c r="O478" s="49"/>
      <c r="P478" s="49"/>
      <c r="Q478" s="49"/>
      <c r="R478" s="49"/>
      <c r="S478" s="49"/>
      <c r="T478" s="49"/>
      <c r="U478" s="49"/>
      <c r="V478" s="49"/>
      <c r="W478" s="49"/>
      <c r="X478" s="49"/>
      <c r="Y478" s="49"/>
      <c r="Z478" s="49"/>
    </row>
    <row r="479" spans="1:26" ht="15.5">
      <c r="A479" s="1"/>
      <c r="B479" s="1"/>
      <c r="C479" s="1"/>
      <c r="D479" s="1"/>
      <c r="E479" s="1"/>
      <c r="F479" s="1"/>
      <c r="G479" s="1"/>
      <c r="H479" s="49"/>
      <c r="I479" s="49"/>
      <c r="J479" s="49"/>
      <c r="K479" s="49"/>
      <c r="L479" s="49"/>
      <c r="M479" s="49"/>
      <c r="N479" s="49"/>
      <c r="O479" s="49"/>
      <c r="P479" s="49"/>
      <c r="Q479" s="49"/>
      <c r="R479" s="49"/>
      <c r="S479" s="49"/>
      <c r="T479" s="49"/>
      <c r="U479" s="49"/>
      <c r="V479" s="49"/>
      <c r="W479" s="49"/>
      <c r="X479" s="49"/>
      <c r="Y479" s="49"/>
      <c r="Z479" s="49"/>
    </row>
    <row r="480" spans="1:26" ht="15.5">
      <c r="A480" s="1"/>
      <c r="B480" s="1"/>
      <c r="C480" s="1"/>
      <c r="D480" s="1"/>
      <c r="E480" s="1"/>
      <c r="F480" s="1"/>
      <c r="G480" s="1"/>
      <c r="H480" s="49"/>
      <c r="I480" s="49"/>
      <c r="J480" s="49"/>
      <c r="K480" s="49"/>
      <c r="L480" s="49"/>
      <c r="M480" s="49"/>
      <c r="N480" s="49"/>
      <c r="O480" s="49"/>
      <c r="P480" s="49"/>
      <c r="Q480" s="49"/>
      <c r="R480" s="49"/>
      <c r="S480" s="49"/>
      <c r="T480" s="49"/>
      <c r="U480" s="49"/>
      <c r="V480" s="49"/>
      <c r="W480" s="49"/>
      <c r="X480" s="49"/>
      <c r="Y480" s="49"/>
      <c r="Z480" s="49"/>
    </row>
    <row r="481" spans="1:26" ht="15.5">
      <c r="A481" s="1"/>
      <c r="B481" s="1"/>
      <c r="C481" s="1"/>
      <c r="D481" s="1"/>
      <c r="E481" s="1"/>
      <c r="F481" s="1"/>
      <c r="G481" s="1"/>
      <c r="H481" s="49"/>
      <c r="I481" s="49"/>
      <c r="J481" s="49"/>
      <c r="K481" s="49"/>
      <c r="L481" s="49"/>
      <c r="M481" s="49"/>
      <c r="N481" s="49"/>
      <c r="O481" s="49"/>
      <c r="P481" s="49"/>
      <c r="Q481" s="49"/>
      <c r="R481" s="49"/>
      <c r="S481" s="49"/>
      <c r="T481" s="49"/>
      <c r="U481" s="49"/>
      <c r="V481" s="49"/>
      <c r="W481" s="49"/>
      <c r="X481" s="49"/>
      <c r="Y481" s="49"/>
      <c r="Z481" s="49"/>
    </row>
    <row r="482" spans="1:26" ht="15.5">
      <c r="A482" s="1"/>
      <c r="B482" s="1"/>
      <c r="C482" s="1"/>
      <c r="D482" s="1"/>
      <c r="E482" s="1"/>
      <c r="F482" s="1"/>
      <c r="G482" s="1"/>
      <c r="H482" s="49"/>
      <c r="I482" s="49"/>
      <c r="J482" s="49"/>
      <c r="K482" s="49"/>
      <c r="L482" s="49"/>
      <c r="M482" s="49"/>
      <c r="N482" s="49"/>
      <c r="O482" s="49"/>
      <c r="P482" s="49"/>
      <c r="Q482" s="49"/>
      <c r="R482" s="49"/>
      <c r="S482" s="49"/>
      <c r="T482" s="49"/>
      <c r="U482" s="49"/>
      <c r="V482" s="49"/>
      <c r="W482" s="49"/>
      <c r="X482" s="49"/>
      <c r="Y482" s="49"/>
      <c r="Z482" s="49"/>
    </row>
    <row r="483" spans="1:26" ht="15.5">
      <c r="A483" s="1"/>
      <c r="B483" s="1"/>
      <c r="C483" s="1"/>
      <c r="D483" s="1"/>
      <c r="E483" s="1"/>
      <c r="F483" s="1"/>
      <c r="G483" s="1"/>
      <c r="H483" s="49"/>
      <c r="I483" s="49"/>
      <c r="J483" s="49"/>
      <c r="K483" s="49"/>
      <c r="L483" s="49"/>
      <c r="M483" s="49"/>
      <c r="N483" s="49"/>
      <c r="O483" s="49"/>
      <c r="P483" s="49"/>
      <c r="Q483" s="49"/>
      <c r="R483" s="49"/>
      <c r="S483" s="49"/>
      <c r="T483" s="49"/>
      <c r="U483" s="49"/>
      <c r="V483" s="49"/>
      <c r="W483" s="49"/>
      <c r="X483" s="49"/>
      <c r="Y483" s="49"/>
      <c r="Z483" s="49"/>
    </row>
    <row r="484" spans="1:26" ht="15.5">
      <c r="A484" s="1"/>
      <c r="B484" s="1"/>
      <c r="C484" s="1"/>
      <c r="D484" s="1"/>
      <c r="E484" s="1"/>
      <c r="F484" s="1"/>
      <c r="G484" s="1"/>
      <c r="H484" s="49"/>
      <c r="I484" s="49"/>
      <c r="J484" s="49"/>
      <c r="K484" s="49"/>
      <c r="L484" s="49"/>
      <c r="M484" s="49"/>
      <c r="N484" s="49"/>
      <c r="O484" s="49"/>
      <c r="P484" s="49"/>
      <c r="Q484" s="49"/>
      <c r="R484" s="49"/>
      <c r="S484" s="49"/>
      <c r="T484" s="49"/>
      <c r="U484" s="49"/>
      <c r="V484" s="49"/>
      <c r="W484" s="49"/>
      <c r="X484" s="49"/>
      <c r="Y484" s="49"/>
      <c r="Z484" s="49"/>
    </row>
    <row r="485" spans="1:26" ht="15.5">
      <c r="A485" s="1"/>
      <c r="B485" s="1"/>
      <c r="C485" s="1"/>
      <c r="D485" s="1"/>
      <c r="E485" s="1"/>
      <c r="F485" s="1"/>
      <c r="G485" s="1"/>
      <c r="H485" s="49"/>
      <c r="I485" s="49"/>
      <c r="J485" s="49"/>
      <c r="K485" s="49"/>
      <c r="L485" s="49"/>
      <c r="M485" s="49"/>
      <c r="N485" s="49"/>
      <c r="O485" s="49"/>
      <c r="P485" s="49"/>
      <c r="Q485" s="49"/>
      <c r="R485" s="49"/>
      <c r="S485" s="49"/>
      <c r="T485" s="49"/>
      <c r="U485" s="49"/>
      <c r="V485" s="49"/>
      <c r="W485" s="49"/>
      <c r="X485" s="49"/>
      <c r="Y485" s="49"/>
      <c r="Z485" s="49"/>
    </row>
    <row r="486" spans="1:26" ht="15.5">
      <c r="A486" s="1"/>
      <c r="B486" s="1"/>
      <c r="C486" s="1"/>
      <c r="D486" s="1"/>
      <c r="E486" s="1"/>
      <c r="F486" s="1"/>
      <c r="G486" s="1"/>
      <c r="H486" s="49"/>
      <c r="I486" s="49"/>
      <c r="J486" s="49"/>
      <c r="K486" s="49"/>
      <c r="L486" s="49"/>
      <c r="M486" s="49"/>
      <c r="N486" s="49"/>
      <c r="O486" s="49"/>
      <c r="P486" s="49"/>
      <c r="Q486" s="49"/>
      <c r="R486" s="49"/>
      <c r="S486" s="49"/>
      <c r="T486" s="49"/>
      <c r="U486" s="49"/>
      <c r="V486" s="49"/>
      <c r="W486" s="49"/>
      <c r="X486" s="49"/>
      <c r="Y486" s="49"/>
      <c r="Z486" s="49"/>
    </row>
    <row r="487" spans="1:26" ht="15.5">
      <c r="A487" s="1"/>
      <c r="B487" s="1"/>
      <c r="C487" s="1"/>
      <c r="D487" s="1"/>
      <c r="E487" s="1"/>
      <c r="F487" s="1"/>
      <c r="G487" s="1"/>
      <c r="H487" s="49"/>
      <c r="I487" s="49"/>
      <c r="J487" s="49"/>
      <c r="K487" s="49"/>
      <c r="L487" s="49"/>
      <c r="M487" s="49"/>
      <c r="N487" s="49"/>
      <c r="O487" s="49"/>
      <c r="P487" s="49"/>
      <c r="Q487" s="49"/>
      <c r="R487" s="49"/>
      <c r="S487" s="49"/>
      <c r="T487" s="49"/>
      <c r="U487" s="49"/>
      <c r="V487" s="49"/>
      <c r="W487" s="49"/>
      <c r="X487" s="49"/>
      <c r="Y487" s="49"/>
      <c r="Z487" s="49"/>
    </row>
    <row r="488" spans="1:26" ht="15.5">
      <c r="A488" s="1"/>
      <c r="B488" s="1"/>
      <c r="C488" s="1"/>
      <c r="D488" s="1"/>
      <c r="E488" s="1"/>
      <c r="F488" s="1"/>
      <c r="G488" s="1"/>
      <c r="H488" s="49"/>
      <c r="I488" s="49"/>
      <c r="J488" s="49"/>
      <c r="K488" s="49"/>
      <c r="L488" s="49"/>
      <c r="M488" s="49"/>
      <c r="N488" s="49"/>
      <c r="O488" s="49"/>
      <c r="P488" s="49"/>
      <c r="Q488" s="49"/>
      <c r="R488" s="49"/>
      <c r="S488" s="49"/>
      <c r="T488" s="49"/>
      <c r="U488" s="49"/>
      <c r="V488" s="49"/>
      <c r="W488" s="49"/>
      <c r="X488" s="49"/>
      <c r="Y488" s="49"/>
      <c r="Z488" s="49"/>
    </row>
    <row r="489" spans="1:26" ht="15.5">
      <c r="A489" s="1"/>
      <c r="B489" s="1"/>
      <c r="C489" s="1"/>
      <c r="D489" s="1"/>
      <c r="E489" s="1"/>
      <c r="F489" s="1"/>
      <c r="G489" s="1"/>
      <c r="H489" s="49"/>
      <c r="I489" s="49"/>
      <c r="J489" s="49"/>
      <c r="K489" s="49"/>
      <c r="L489" s="49"/>
      <c r="M489" s="49"/>
      <c r="N489" s="49"/>
      <c r="O489" s="49"/>
      <c r="P489" s="49"/>
      <c r="Q489" s="49"/>
      <c r="R489" s="49"/>
      <c r="S489" s="49"/>
      <c r="T489" s="49"/>
      <c r="U489" s="49"/>
      <c r="V489" s="49"/>
      <c r="W489" s="49"/>
      <c r="X489" s="49"/>
      <c r="Y489" s="49"/>
      <c r="Z489" s="49"/>
    </row>
    <row r="490" spans="1:26" ht="15.5">
      <c r="A490" s="1"/>
      <c r="B490" s="1"/>
      <c r="C490" s="1"/>
      <c r="D490" s="1"/>
      <c r="E490" s="1"/>
      <c r="F490" s="1"/>
      <c r="G490" s="1"/>
      <c r="H490" s="49"/>
      <c r="I490" s="49"/>
      <c r="J490" s="49"/>
      <c r="K490" s="49"/>
      <c r="L490" s="49"/>
      <c r="M490" s="49"/>
      <c r="N490" s="49"/>
      <c r="O490" s="49"/>
      <c r="P490" s="49"/>
      <c r="Q490" s="49"/>
      <c r="R490" s="49"/>
      <c r="S490" s="49"/>
      <c r="T490" s="49"/>
      <c r="U490" s="49"/>
      <c r="V490" s="49"/>
      <c r="W490" s="49"/>
      <c r="X490" s="49"/>
      <c r="Y490" s="49"/>
      <c r="Z490" s="49"/>
    </row>
    <row r="491" spans="1:26" ht="15.5">
      <c r="A491" s="1"/>
      <c r="B491" s="1"/>
      <c r="C491" s="1"/>
      <c r="D491" s="1"/>
      <c r="E491" s="1"/>
      <c r="F491" s="1"/>
      <c r="G491" s="1"/>
      <c r="H491" s="49"/>
      <c r="I491" s="49"/>
      <c r="J491" s="49"/>
      <c r="K491" s="49"/>
      <c r="L491" s="49"/>
      <c r="M491" s="49"/>
      <c r="N491" s="49"/>
      <c r="O491" s="49"/>
      <c r="P491" s="49"/>
      <c r="Q491" s="49"/>
      <c r="R491" s="49"/>
      <c r="S491" s="49"/>
      <c r="T491" s="49"/>
      <c r="U491" s="49"/>
      <c r="V491" s="49"/>
      <c r="W491" s="49"/>
      <c r="X491" s="49"/>
      <c r="Y491" s="49"/>
      <c r="Z491" s="49"/>
    </row>
    <row r="492" spans="1:26" ht="15.5">
      <c r="A492" s="1"/>
      <c r="B492" s="1"/>
      <c r="C492" s="1"/>
      <c r="D492" s="1"/>
      <c r="E492" s="1"/>
      <c r="F492" s="1"/>
      <c r="G492" s="1"/>
      <c r="H492" s="49"/>
      <c r="I492" s="49"/>
      <c r="J492" s="49"/>
      <c r="K492" s="49"/>
      <c r="L492" s="49"/>
      <c r="M492" s="49"/>
      <c r="N492" s="49"/>
      <c r="O492" s="49"/>
      <c r="P492" s="49"/>
      <c r="Q492" s="49"/>
      <c r="R492" s="49"/>
      <c r="S492" s="49"/>
      <c r="T492" s="49"/>
      <c r="U492" s="49"/>
      <c r="V492" s="49"/>
      <c r="W492" s="49"/>
      <c r="X492" s="49"/>
      <c r="Y492" s="49"/>
      <c r="Z492" s="49"/>
    </row>
    <row r="493" spans="1:26" ht="15.5">
      <c r="A493" s="1"/>
      <c r="B493" s="1"/>
      <c r="C493" s="1"/>
      <c r="D493" s="1"/>
      <c r="E493" s="1"/>
      <c r="F493" s="1"/>
      <c r="G493" s="1"/>
      <c r="H493" s="49"/>
      <c r="I493" s="49"/>
      <c r="J493" s="49"/>
      <c r="K493" s="49"/>
      <c r="L493" s="49"/>
      <c r="M493" s="49"/>
      <c r="N493" s="49"/>
      <c r="O493" s="49"/>
      <c r="P493" s="49"/>
      <c r="Q493" s="49"/>
      <c r="R493" s="49"/>
      <c r="S493" s="49"/>
      <c r="T493" s="49"/>
      <c r="U493" s="49"/>
      <c r="V493" s="49"/>
      <c r="W493" s="49"/>
      <c r="X493" s="49"/>
      <c r="Y493" s="49"/>
      <c r="Z493" s="49"/>
    </row>
    <row r="494" spans="1:26" ht="15.5">
      <c r="A494" s="1"/>
      <c r="B494" s="1"/>
      <c r="C494" s="1"/>
      <c r="D494" s="1"/>
      <c r="E494" s="1"/>
      <c r="F494" s="1"/>
      <c r="G494" s="1"/>
      <c r="H494" s="49"/>
      <c r="I494" s="49"/>
      <c r="J494" s="49"/>
      <c r="K494" s="49"/>
      <c r="L494" s="49"/>
      <c r="M494" s="49"/>
      <c r="N494" s="49"/>
      <c r="O494" s="49"/>
      <c r="P494" s="49"/>
      <c r="Q494" s="49"/>
      <c r="R494" s="49"/>
      <c r="S494" s="49"/>
      <c r="T494" s="49"/>
      <c r="U494" s="49"/>
      <c r="V494" s="49"/>
      <c r="W494" s="49"/>
      <c r="X494" s="49"/>
      <c r="Y494" s="49"/>
      <c r="Z494" s="49"/>
    </row>
    <row r="495" spans="1:26" ht="15.5">
      <c r="A495" s="1"/>
      <c r="B495" s="1"/>
      <c r="C495" s="1"/>
      <c r="D495" s="1"/>
      <c r="E495" s="1"/>
      <c r="F495" s="1"/>
      <c r="G495" s="1"/>
      <c r="H495" s="49"/>
      <c r="I495" s="49"/>
      <c r="J495" s="49"/>
      <c r="K495" s="49"/>
      <c r="L495" s="49"/>
      <c r="M495" s="49"/>
      <c r="N495" s="49"/>
      <c r="O495" s="49"/>
      <c r="P495" s="49"/>
      <c r="Q495" s="49"/>
      <c r="R495" s="49"/>
      <c r="S495" s="49"/>
      <c r="T495" s="49"/>
      <c r="U495" s="49"/>
      <c r="V495" s="49"/>
      <c r="W495" s="49"/>
      <c r="X495" s="49"/>
      <c r="Y495" s="49"/>
      <c r="Z495" s="49"/>
    </row>
    <row r="496" spans="1:26" ht="15.5">
      <c r="A496" s="1"/>
      <c r="B496" s="1"/>
      <c r="C496" s="1"/>
      <c r="D496" s="1"/>
      <c r="E496" s="1"/>
      <c r="F496" s="1"/>
      <c r="G496" s="1"/>
      <c r="H496" s="49"/>
      <c r="I496" s="49"/>
      <c r="J496" s="49"/>
      <c r="K496" s="49"/>
      <c r="L496" s="49"/>
      <c r="M496" s="49"/>
      <c r="N496" s="49"/>
      <c r="O496" s="49"/>
      <c r="P496" s="49"/>
      <c r="Q496" s="49"/>
      <c r="R496" s="49"/>
      <c r="S496" s="49"/>
      <c r="T496" s="49"/>
      <c r="U496" s="49"/>
      <c r="V496" s="49"/>
      <c r="W496" s="49"/>
      <c r="X496" s="49"/>
      <c r="Y496" s="49"/>
      <c r="Z496" s="49"/>
    </row>
    <row r="497" spans="1:26" ht="15.5">
      <c r="A497" s="1"/>
      <c r="B497" s="1"/>
      <c r="C497" s="1"/>
      <c r="D497" s="1"/>
      <c r="E497" s="1"/>
      <c r="F497" s="1"/>
      <c r="G497" s="1"/>
      <c r="H497" s="49"/>
      <c r="I497" s="49"/>
      <c r="J497" s="49"/>
      <c r="K497" s="49"/>
      <c r="L497" s="49"/>
      <c r="M497" s="49"/>
      <c r="N497" s="49"/>
      <c r="O497" s="49"/>
      <c r="P497" s="49"/>
      <c r="Q497" s="49"/>
      <c r="R497" s="49"/>
      <c r="S497" s="49"/>
      <c r="T497" s="49"/>
      <c r="U497" s="49"/>
      <c r="V497" s="49"/>
      <c r="W497" s="49"/>
      <c r="X497" s="49"/>
      <c r="Y497" s="49"/>
      <c r="Z497" s="49"/>
    </row>
    <row r="498" spans="1:26" ht="15.5">
      <c r="A498" s="1"/>
      <c r="B498" s="1"/>
      <c r="C498" s="1"/>
      <c r="D498" s="1"/>
      <c r="E498" s="1"/>
      <c r="F498" s="1"/>
      <c r="G498" s="1"/>
      <c r="H498" s="49"/>
      <c r="I498" s="49"/>
      <c r="J498" s="49"/>
      <c r="K498" s="49"/>
      <c r="L498" s="49"/>
      <c r="M498" s="49"/>
      <c r="N498" s="49"/>
      <c r="O498" s="49"/>
      <c r="P498" s="49"/>
      <c r="Q498" s="49"/>
      <c r="R498" s="49"/>
      <c r="S498" s="49"/>
      <c r="T498" s="49"/>
      <c r="U498" s="49"/>
      <c r="V498" s="49"/>
      <c r="W498" s="49"/>
      <c r="X498" s="49"/>
      <c r="Y498" s="49"/>
      <c r="Z498" s="49"/>
    </row>
    <row r="499" spans="1:26" ht="15.5">
      <c r="A499" s="1"/>
      <c r="B499" s="1"/>
      <c r="C499" s="1"/>
      <c r="D499" s="1"/>
      <c r="E499" s="1"/>
      <c r="F499" s="1"/>
      <c r="G499" s="1"/>
      <c r="H499" s="49"/>
      <c r="I499" s="49"/>
      <c r="J499" s="49"/>
      <c r="K499" s="49"/>
      <c r="L499" s="49"/>
      <c r="M499" s="49"/>
      <c r="N499" s="49"/>
      <c r="O499" s="49"/>
      <c r="P499" s="49"/>
      <c r="Q499" s="49"/>
      <c r="R499" s="49"/>
      <c r="S499" s="49"/>
      <c r="T499" s="49"/>
      <c r="U499" s="49"/>
      <c r="V499" s="49"/>
      <c r="W499" s="49"/>
      <c r="X499" s="49"/>
      <c r="Y499" s="49"/>
      <c r="Z499" s="49"/>
    </row>
    <row r="500" spans="1:26" ht="15.5">
      <c r="A500" s="1"/>
      <c r="B500" s="1"/>
      <c r="C500" s="1"/>
      <c r="D500" s="1"/>
      <c r="E500" s="1"/>
      <c r="F500" s="1"/>
      <c r="G500" s="1"/>
      <c r="H500" s="49"/>
      <c r="I500" s="49"/>
      <c r="J500" s="49"/>
      <c r="K500" s="49"/>
      <c r="L500" s="49"/>
      <c r="M500" s="49"/>
      <c r="N500" s="49"/>
      <c r="O500" s="49"/>
      <c r="P500" s="49"/>
      <c r="Q500" s="49"/>
      <c r="R500" s="49"/>
      <c r="S500" s="49"/>
      <c r="T500" s="49"/>
      <c r="U500" s="49"/>
      <c r="V500" s="49"/>
      <c r="W500" s="49"/>
      <c r="X500" s="49"/>
      <c r="Y500" s="49"/>
      <c r="Z500" s="49"/>
    </row>
    <row r="501" spans="1:26" ht="15.5">
      <c r="A501" s="1"/>
      <c r="B501" s="1"/>
      <c r="C501" s="1"/>
      <c r="D501" s="1"/>
      <c r="E501" s="1"/>
      <c r="F501" s="1"/>
      <c r="G501" s="1"/>
      <c r="H501" s="49"/>
      <c r="I501" s="49"/>
      <c r="J501" s="49"/>
      <c r="K501" s="49"/>
      <c r="L501" s="49"/>
      <c r="M501" s="49"/>
      <c r="N501" s="49"/>
      <c r="O501" s="49"/>
      <c r="P501" s="49"/>
      <c r="Q501" s="49"/>
      <c r="R501" s="49"/>
      <c r="S501" s="49"/>
      <c r="T501" s="49"/>
      <c r="U501" s="49"/>
      <c r="V501" s="49"/>
      <c r="W501" s="49"/>
      <c r="X501" s="49"/>
      <c r="Y501" s="49"/>
      <c r="Z501" s="49"/>
    </row>
    <row r="502" spans="1:26" ht="15.5">
      <c r="A502" s="1"/>
      <c r="B502" s="1"/>
      <c r="C502" s="1"/>
      <c r="D502" s="1"/>
      <c r="E502" s="1"/>
      <c r="F502" s="1"/>
      <c r="G502" s="1"/>
      <c r="H502" s="49"/>
      <c r="I502" s="49"/>
      <c r="J502" s="49"/>
      <c r="K502" s="49"/>
      <c r="L502" s="49"/>
      <c r="M502" s="49"/>
      <c r="N502" s="49"/>
      <c r="O502" s="49"/>
      <c r="P502" s="49"/>
      <c r="Q502" s="49"/>
      <c r="R502" s="49"/>
      <c r="S502" s="49"/>
      <c r="T502" s="49"/>
      <c r="U502" s="49"/>
      <c r="V502" s="49"/>
      <c r="W502" s="49"/>
      <c r="X502" s="49"/>
      <c r="Y502" s="49"/>
      <c r="Z502" s="49"/>
    </row>
    <row r="503" spans="1:26" ht="15.5">
      <c r="A503" s="1"/>
      <c r="B503" s="1"/>
      <c r="C503" s="1"/>
      <c r="D503" s="1"/>
      <c r="E503" s="1"/>
      <c r="F503" s="1"/>
      <c r="G503" s="1"/>
      <c r="H503" s="49"/>
      <c r="I503" s="49"/>
      <c r="J503" s="49"/>
      <c r="K503" s="49"/>
      <c r="L503" s="49"/>
      <c r="M503" s="49"/>
      <c r="N503" s="49"/>
      <c r="O503" s="49"/>
      <c r="P503" s="49"/>
      <c r="Q503" s="49"/>
      <c r="R503" s="49"/>
      <c r="S503" s="49"/>
      <c r="T503" s="49"/>
      <c r="U503" s="49"/>
      <c r="V503" s="49"/>
      <c r="W503" s="49"/>
      <c r="X503" s="49"/>
      <c r="Y503" s="49"/>
      <c r="Z503" s="49"/>
    </row>
    <row r="504" spans="1:26" ht="15.5">
      <c r="A504" s="1"/>
      <c r="B504" s="1"/>
      <c r="C504" s="1"/>
      <c r="D504" s="1"/>
      <c r="E504" s="1"/>
      <c r="F504" s="1"/>
      <c r="G504" s="1"/>
      <c r="H504" s="49"/>
      <c r="I504" s="49"/>
      <c r="J504" s="49"/>
      <c r="K504" s="49"/>
      <c r="L504" s="49"/>
      <c r="M504" s="49"/>
      <c r="N504" s="49"/>
      <c r="O504" s="49"/>
      <c r="P504" s="49"/>
      <c r="Q504" s="49"/>
      <c r="R504" s="49"/>
      <c r="S504" s="49"/>
      <c r="T504" s="49"/>
      <c r="U504" s="49"/>
      <c r="V504" s="49"/>
      <c r="W504" s="49"/>
      <c r="X504" s="49"/>
      <c r="Y504" s="49"/>
      <c r="Z504" s="49"/>
    </row>
    <row r="505" spans="1:26" ht="15.5">
      <c r="A505" s="1"/>
      <c r="B505" s="1"/>
      <c r="C505" s="1"/>
      <c r="D505" s="1"/>
      <c r="E505" s="1"/>
      <c r="F505" s="1"/>
      <c r="G505" s="1"/>
      <c r="H505" s="49"/>
      <c r="I505" s="49"/>
      <c r="J505" s="49"/>
      <c r="K505" s="49"/>
      <c r="L505" s="49"/>
      <c r="M505" s="49"/>
      <c r="N505" s="49"/>
      <c r="O505" s="49"/>
      <c r="P505" s="49"/>
      <c r="Q505" s="49"/>
      <c r="R505" s="49"/>
      <c r="S505" s="49"/>
      <c r="T505" s="49"/>
      <c r="U505" s="49"/>
      <c r="V505" s="49"/>
      <c r="W505" s="49"/>
      <c r="X505" s="49"/>
      <c r="Y505" s="49"/>
      <c r="Z505" s="49"/>
    </row>
    <row r="506" spans="1:26" ht="15.5">
      <c r="A506" s="1"/>
      <c r="B506" s="1"/>
      <c r="C506" s="1"/>
      <c r="D506" s="1"/>
      <c r="E506" s="1"/>
      <c r="F506" s="1"/>
      <c r="G506" s="1"/>
      <c r="H506" s="49"/>
      <c r="I506" s="49"/>
      <c r="J506" s="49"/>
      <c r="K506" s="49"/>
      <c r="L506" s="49"/>
      <c r="M506" s="49"/>
      <c r="N506" s="49"/>
      <c r="O506" s="49"/>
      <c r="P506" s="49"/>
      <c r="Q506" s="49"/>
      <c r="R506" s="49"/>
      <c r="S506" s="49"/>
      <c r="T506" s="49"/>
      <c r="U506" s="49"/>
      <c r="V506" s="49"/>
      <c r="W506" s="49"/>
      <c r="X506" s="49"/>
      <c r="Y506" s="49"/>
      <c r="Z506" s="49"/>
    </row>
    <row r="507" spans="1:26" ht="15.5">
      <c r="A507" s="1"/>
      <c r="B507" s="1"/>
      <c r="C507" s="1"/>
      <c r="D507" s="1"/>
      <c r="E507" s="1"/>
      <c r="F507" s="1"/>
      <c r="G507" s="1"/>
      <c r="H507" s="49"/>
      <c r="I507" s="49"/>
      <c r="J507" s="49"/>
      <c r="K507" s="49"/>
      <c r="L507" s="49"/>
      <c r="M507" s="49"/>
      <c r="N507" s="49"/>
      <c r="O507" s="49"/>
      <c r="P507" s="49"/>
      <c r="Q507" s="49"/>
      <c r="R507" s="49"/>
      <c r="S507" s="49"/>
      <c r="T507" s="49"/>
      <c r="U507" s="49"/>
      <c r="V507" s="49"/>
      <c r="W507" s="49"/>
      <c r="X507" s="49"/>
      <c r="Y507" s="49"/>
      <c r="Z507" s="49"/>
    </row>
    <row r="508" spans="1:26" ht="15.5">
      <c r="A508" s="1"/>
      <c r="B508" s="1"/>
      <c r="C508" s="1"/>
      <c r="D508" s="1"/>
      <c r="E508" s="1"/>
      <c r="F508" s="1"/>
      <c r="G508" s="1"/>
      <c r="H508" s="49"/>
      <c r="I508" s="49"/>
      <c r="J508" s="49"/>
      <c r="K508" s="49"/>
      <c r="L508" s="49"/>
      <c r="M508" s="49"/>
      <c r="N508" s="49"/>
      <c r="O508" s="49"/>
      <c r="P508" s="49"/>
      <c r="Q508" s="49"/>
      <c r="R508" s="49"/>
      <c r="S508" s="49"/>
      <c r="T508" s="49"/>
      <c r="U508" s="49"/>
      <c r="V508" s="49"/>
      <c r="W508" s="49"/>
      <c r="X508" s="49"/>
      <c r="Y508" s="49"/>
      <c r="Z508" s="49"/>
    </row>
    <row r="509" spans="1:26" ht="15.5">
      <c r="A509" s="1"/>
      <c r="B509" s="1"/>
      <c r="C509" s="1"/>
      <c r="D509" s="1"/>
      <c r="E509" s="1"/>
      <c r="F509" s="1"/>
      <c r="G509" s="1"/>
      <c r="H509" s="49"/>
      <c r="I509" s="49"/>
      <c r="J509" s="49"/>
      <c r="K509" s="49"/>
      <c r="L509" s="49"/>
      <c r="M509" s="49"/>
      <c r="N509" s="49"/>
      <c r="O509" s="49"/>
      <c r="P509" s="49"/>
      <c r="Q509" s="49"/>
      <c r="R509" s="49"/>
      <c r="S509" s="49"/>
      <c r="T509" s="49"/>
      <c r="U509" s="49"/>
      <c r="V509" s="49"/>
      <c r="W509" s="49"/>
      <c r="X509" s="49"/>
      <c r="Y509" s="49"/>
      <c r="Z509" s="49"/>
    </row>
    <row r="510" spans="1:26" ht="15.5">
      <c r="A510" s="1"/>
      <c r="B510" s="1"/>
      <c r="C510" s="1"/>
      <c r="D510" s="1"/>
      <c r="E510" s="1"/>
      <c r="F510" s="1"/>
      <c r="G510" s="1"/>
      <c r="H510" s="49"/>
      <c r="I510" s="49"/>
      <c r="J510" s="49"/>
      <c r="K510" s="49"/>
      <c r="L510" s="49"/>
      <c r="M510" s="49"/>
      <c r="N510" s="49"/>
      <c r="O510" s="49"/>
      <c r="P510" s="49"/>
      <c r="Q510" s="49"/>
      <c r="R510" s="49"/>
      <c r="S510" s="49"/>
      <c r="T510" s="49"/>
      <c r="U510" s="49"/>
      <c r="V510" s="49"/>
      <c r="W510" s="49"/>
      <c r="X510" s="49"/>
      <c r="Y510" s="49"/>
      <c r="Z510" s="49"/>
    </row>
    <row r="511" spans="1:26" ht="15.5">
      <c r="A511" s="1"/>
      <c r="B511" s="1"/>
      <c r="C511" s="1"/>
      <c r="D511" s="1"/>
      <c r="E511" s="1"/>
      <c r="F511" s="1"/>
      <c r="G511" s="1"/>
      <c r="H511" s="49"/>
      <c r="I511" s="49"/>
      <c r="J511" s="49"/>
      <c r="K511" s="49"/>
      <c r="L511" s="49"/>
      <c r="M511" s="49"/>
      <c r="N511" s="49"/>
      <c r="O511" s="49"/>
      <c r="P511" s="49"/>
      <c r="Q511" s="49"/>
      <c r="R511" s="49"/>
      <c r="S511" s="49"/>
      <c r="T511" s="49"/>
      <c r="U511" s="49"/>
      <c r="V511" s="49"/>
      <c r="W511" s="49"/>
      <c r="X511" s="49"/>
      <c r="Y511" s="49"/>
      <c r="Z511" s="49"/>
    </row>
    <row r="512" spans="1:26" ht="15.5">
      <c r="A512" s="1"/>
      <c r="B512" s="1"/>
      <c r="C512" s="1"/>
      <c r="D512" s="1"/>
      <c r="E512" s="1"/>
      <c r="F512" s="1"/>
      <c r="G512" s="1"/>
      <c r="H512" s="49"/>
      <c r="I512" s="49"/>
      <c r="J512" s="49"/>
      <c r="K512" s="49"/>
      <c r="L512" s="49"/>
      <c r="M512" s="49"/>
      <c r="N512" s="49"/>
      <c r="O512" s="49"/>
      <c r="P512" s="49"/>
      <c r="Q512" s="49"/>
      <c r="R512" s="49"/>
      <c r="S512" s="49"/>
      <c r="T512" s="49"/>
      <c r="U512" s="49"/>
      <c r="V512" s="49"/>
      <c r="W512" s="49"/>
      <c r="X512" s="49"/>
      <c r="Y512" s="49"/>
      <c r="Z512" s="49"/>
    </row>
    <row r="513" spans="1:26" ht="15.5">
      <c r="A513" s="1"/>
      <c r="B513" s="1"/>
      <c r="C513" s="1"/>
      <c r="D513" s="1"/>
      <c r="E513" s="1"/>
      <c r="F513" s="1"/>
      <c r="G513" s="1"/>
      <c r="H513" s="49"/>
      <c r="I513" s="49"/>
      <c r="J513" s="49"/>
      <c r="K513" s="49"/>
      <c r="L513" s="49"/>
      <c r="M513" s="49"/>
      <c r="N513" s="49"/>
      <c r="O513" s="49"/>
      <c r="P513" s="49"/>
      <c r="Q513" s="49"/>
      <c r="R513" s="49"/>
      <c r="S513" s="49"/>
      <c r="T513" s="49"/>
      <c r="U513" s="49"/>
      <c r="V513" s="49"/>
      <c r="W513" s="49"/>
      <c r="X513" s="49"/>
      <c r="Y513" s="49"/>
      <c r="Z513" s="49"/>
    </row>
    <row r="514" spans="1:26" ht="15.5">
      <c r="A514" s="1"/>
      <c r="B514" s="1"/>
      <c r="C514" s="1"/>
      <c r="D514" s="1"/>
      <c r="E514" s="1"/>
      <c r="F514" s="1"/>
      <c r="G514" s="1"/>
      <c r="H514" s="49"/>
      <c r="I514" s="49"/>
      <c r="J514" s="49"/>
      <c r="K514" s="49"/>
      <c r="L514" s="49"/>
      <c r="M514" s="49"/>
      <c r="N514" s="49"/>
      <c r="O514" s="49"/>
      <c r="P514" s="49"/>
      <c r="Q514" s="49"/>
      <c r="R514" s="49"/>
      <c r="S514" s="49"/>
      <c r="T514" s="49"/>
      <c r="U514" s="49"/>
      <c r="V514" s="49"/>
      <c r="W514" s="49"/>
      <c r="X514" s="49"/>
      <c r="Y514" s="49"/>
      <c r="Z514" s="49"/>
    </row>
    <row r="515" spans="1:26" ht="15.5">
      <c r="A515" s="1"/>
      <c r="B515" s="1"/>
      <c r="C515" s="1"/>
      <c r="D515" s="1"/>
      <c r="E515" s="1"/>
      <c r="F515" s="1"/>
      <c r="G515" s="1"/>
      <c r="H515" s="49"/>
      <c r="I515" s="49"/>
      <c r="J515" s="49"/>
      <c r="K515" s="49"/>
      <c r="L515" s="49"/>
      <c r="M515" s="49"/>
      <c r="N515" s="49"/>
      <c r="O515" s="49"/>
      <c r="P515" s="49"/>
      <c r="Q515" s="49"/>
      <c r="R515" s="49"/>
      <c r="S515" s="49"/>
      <c r="T515" s="49"/>
      <c r="U515" s="49"/>
      <c r="V515" s="49"/>
      <c r="W515" s="49"/>
      <c r="X515" s="49"/>
      <c r="Y515" s="49"/>
      <c r="Z515" s="49"/>
    </row>
    <row r="516" spans="1:26" ht="15.5">
      <c r="A516" s="1"/>
      <c r="B516" s="1"/>
      <c r="C516" s="1"/>
      <c r="D516" s="1"/>
      <c r="E516" s="1"/>
      <c r="F516" s="1"/>
      <c r="G516" s="1"/>
      <c r="H516" s="49"/>
      <c r="I516" s="49"/>
      <c r="J516" s="49"/>
      <c r="K516" s="49"/>
      <c r="L516" s="49"/>
      <c r="M516" s="49"/>
      <c r="N516" s="49"/>
      <c r="O516" s="49"/>
      <c r="P516" s="49"/>
      <c r="Q516" s="49"/>
      <c r="R516" s="49"/>
      <c r="S516" s="49"/>
      <c r="T516" s="49"/>
      <c r="U516" s="49"/>
      <c r="V516" s="49"/>
      <c r="W516" s="49"/>
      <c r="X516" s="49"/>
      <c r="Y516" s="49"/>
      <c r="Z516" s="49"/>
    </row>
    <row r="517" spans="1:26" ht="15.5">
      <c r="A517" s="1"/>
      <c r="B517" s="1"/>
      <c r="C517" s="1"/>
      <c r="D517" s="1"/>
      <c r="E517" s="1"/>
      <c r="F517" s="1"/>
      <c r="G517" s="1"/>
      <c r="H517" s="49"/>
      <c r="I517" s="49"/>
      <c r="J517" s="49"/>
      <c r="K517" s="49"/>
      <c r="L517" s="49"/>
      <c r="M517" s="49"/>
      <c r="N517" s="49"/>
      <c r="O517" s="49"/>
      <c r="P517" s="49"/>
      <c r="Q517" s="49"/>
      <c r="R517" s="49"/>
      <c r="S517" s="49"/>
      <c r="T517" s="49"/>
      <c r="U517" s="49"/>
      <c r="V517" s="49"/>
      <c r="W517" s="49"/>
      <c r="X517" s="49"/>
      <c r="Y517" s="49"/>
      <c r="Z517" s="49"/>
    </row>
    <row r="518" spans="1:26" ht="15.5">
      <c r="A518" s="1"/>
      <c r="B518" s="1"/>
      <c r="C518" s="1"/>
      <c r="D518" s="1"/>
      <c r="E518" s="1"/>
      <c r="F518" s="1"/>
      <c r="G518" s="1"/>
      <c r="H518" s="49"/>
      <c r="I518" s="49"/>
      <c r="J518" s="49"/>
      <c r="K518" s="49"/>
      <c r="L518" s="49"/>
      <c r="M518" s="49"/>
      <c r="N518" s="49"/>
      <c r="O518" s="49"/>
      <c r="P518" s="49"/>
      <c r="Q518" s="49"/>
      <c r="R518" s="49"/>
      <c r="S518" s="49"/>
      <c r="T518" s="49"/>
      <c r="U518" s="49"/>
      <c r="V518" s="49"/>
      <c r="W518" s="49"/>
      <c r="X518" s="49"/>
      <c r="Y518" s="49"/>
      <c r="Z518" s="49"/>
    </row>
    <row r="519" spans="1:26" ht="15.5">
      <c r="A519" s="1"/>
      <c r="B519" s="1"/>
      <c r="C519" s="1"/>
      <c r="D519" s="1"/>
      <c r="E519" s="1"/>
      <c r="F519" s="1"/>
      <c r="G519" s="1"/>
      <c r="H519" s="49"/>
      <c r="I519" s="49"/>
      <c r="J519" s="49"/>
      <c r="K519" s="49"/>
      <c r="L519" s="49"/>
      <c r="M519" s="49"/>
      <c r="N519" s="49"/>
      <c r="O519" s="49"/>
      <c r="P519" s="49"/>
      <c r="Q519" s="49"/>
      <c r="R519" s="49"/>
      <c r="S519" s="49"/>
      <c r="T519" s="49"/>
      <c r="U519" s="49"/>
      <c r="V519" s="49"/>
      <c r="W519" s="49"/>
      <c r="X519" s="49"/>
      <c r="Y519" s="49"/>
      <c r="Z519" s="49"/>
    </row>
    <row r="520" spans="1:26" ht="15.5">
      <c r="A520" s="1"/>
      <c r="B520" s="1"/>
      <c r="C520" s="1"/>
      <c r="D520" s="1"/>
      <c r="E520" s="1"/>
      <c r="F520" s="1"/>
      <c r="G520" s="1"/>
      <c r="H520" s="49"/>
      <c r="I520" s="49"/>
      <c r="J520" s="49"/>
      <c r="K520" s="49"/>
      <c r="L520" s="49"/>
      <c r="M520" s="49"/>
      <c r="N520" s="49"/>
      <c r="O520" s="49"/>
      <c r="P520" s="49"/>
      <c r="Q520" s="49"/>
      <c r="R520" s="49"/>
      <c r="S520" s="49"/>
      <c r="T520" s="49"/>
      <c r="U520" s="49"/>
      <c r="V520" s="49"/>
      <c r="W520" s="49"/>
      <c r="X520" s="49"/>
      <c r="Y520" s="49"/>
      <c r="Z520" s="49"/>
    </row>
    <row r="521" spans="1:26" ht="15.5">
      <c r="A521" s="1"/>
      <c r="B521" s="1"/>
      <c r="C521" s="1"/>
      <c r="D521" s="1"/>
      <c r="E521" s="1"/>
      <c r="F521" s="1"/>
      <c r="G521" s="1"/>
      <c r="H521" s="49"/>
      <c r="I521" s="49"/>
      <c r="J521" s="49"/>
      <c r="K521" s="49"/>
      <c r="L521" s="49"/>
      <c r="M521" s="49"/>
      <c r="N521" s="49"/>
      <c r="O521" s="49"/>
      <c r="P521" s="49"/>
      <c r="Q521" s="49"/>
      <c r="R521" s="49"/>
      <c r="S521" s="49"/>
      <c r="T521" s="49"/>
      <c r="U521" s="49"/>
      <c r="V521" s="49"/>
      <c r="W521" s="49"/>
      <c r="X521" s="49"/>
      <c r="Y521" s="49"/>
      <c r="Z521" s="49"/>
    </row>
    <row r="522" spans="1:26" ht="15.5">
      <c r="A522" s="1"/>
      <c r="B522" s="1"/>
      <c r="C522" s="1"/>
      <c r="D522" s="1"/>
      <c r="E522" s="1"/>
      <c r="F522" s="1"/>
      <c r="G522" s="1"/>
      <c r="H522" s="49"/>
      <c r="I522" s="49"/>
      <c r="J522" s="49"/>
      <c r="K522" s="49"/>
      <c r="L522" s="49"/>
      <c r="M522" s="49"/>
      <c r="N522" s="49"/>
      <c r="O522" s="49"/>
      <c r="P522" s="49"/>
      <c r="Q522" s="49"/>
      <c r="R522" s="49"/>
      <c r="S522" s="49"/>
      <c r="T522" s="49"/>
      <c r="U522" s="49"/>
      <c r="V522" s="49"/>
      <c r="W522" s="49"/>
      <c r="X522" s="49"/>
      <c r="Y522" s="49"/>
      <c r="Z522" s="49"/>
    </row>
    <row r="523" spans="1:26" ht="15.5">
      <c r="A523" s="1"/>
      <c r="B523" s="1"/>
      <c r="C523" s="1"/>
      <c r="D523" s="1"/>
      <c r="E523" s="1"/>
      <c r="F523" s="1"/>
      <c r="G523" s="1"/>
      <c r="H523" s="49"/>
      <c r="I523" s="49"/>
      <c r="J523" s="49"/>
      <c r="K523" s="49"/>
      <c r="L523" s="49"/>
      <c r="M523" s="49"/>
      <c r="N523" s="49"/>
      <c r="O523" s="49"/>
      <c r="P523" s="49"/>
      <c r="Q523" s="49"/>
      <c r="R523" s="49"/>
      <c r="S523" s="49"/>
      <c r="T523" s="49"/>
      <c r="U523" s="49"/>
      <c r="V523" s="49"/>
      <c r="W523" s="49"/>
      <c r="X523" s="49"/>
      <c r="Y523" s="49"/>
      <c r="Z523" s="49"/>
    </row>
    <row r="524" spans="1:26" ht="15.5">
      <c r="A524" s="1"/>
      <c r="B524" s="1"/>
      <c r="C524" s="1"/>
      <c r="D524" s="1"/>
      <c r="E524" s="1"/>
      <c r="F524" s="1"/>
      <c r="G524" s="1"/>
      <c r="H524" s="49"/>
      <c r="I524" s="49"/>
      <c r="J524" s="49"/>
      <c r="K524" s="49"/>
      <c r="L524" s="49"/>
      <c r="M524" s="49"/>
      <c r="N524" s="49"/>
      <c r="O524" s="49"/>
      <c r="P524" s="49"/>
      <c r="Q524" s="49"/>
      <c r="R524" s="49"/>
      <c r="S524" s="49"/>
      <c r="T524" s="49"/>
      <c r="U524" s="49"/>
      <c r="V524" s="49"/>
      <c r="W524" s="49"/>
      <c r="X524" s="49"/>
      <c r="Y524" s="49"/>
      <c r="Z524" s="49"/>
    </row>
    <row r="525" spans="1:26" ht="15.5">
      <c r="A525" s="1"/>
      <c r="B525" s="1"/>
      <c r="C525" s="1"/>
      <c r="D525" s="1"/>
      <c r="E525" s="1"/>
      <c r="F525" s="1"/>
      <c r="G525" s="1"/>
      <c r="H525" s="49"/>
      <c r="I525" s="49"/>
      <c r="J525" s="49"/>
      <c r="K525" s="49"/>
      <c r="L525" s="49"/>
      <c r="M525" s="49"/>
      <c r="N525" s="49"/>
      <c r="O525" s="49"/>
      <c r="P525" s="49"/>
      <c r="Q525" s="49"/>
      <c r="R525" s="49"/>
      <c r="S525" s="49"/>
      <c r="T525" s="49"/>
      <c r="U525" s="49"/>
      <c r="V525" s="49"/>
      <c r="W525" s="49"/>
      <c r="X525" s="49"/>
      <c r="Y525" s="49"/>
      <c r="Z525" s="49"/>
    </row>
    <row r="526" spans="1:26" ht="15.5">
      <c r="A526" s="1"/>
      <c r="B526" s="1"/>
      <c r="C526" s="1"/>
      <c r="D526" s="1"/>
      <c r="E526" s="1"/>
      <c r="F526" s="1"/>
      <c r="G526" s="1"/>
      <c r="H526" s="49"/>
      <c r="I526" s="49"/>
      <c r="J526" s="49"/>
      <c r="K526" s="49"/>
      <c r="L526" s="49"/>
      <c r="M526" s="49"/>
      <c r="N526" s="49"/>
      <c r="O526" s="49"/>
      <c r="P526" s="49"/>
      <c r="Q526" s="49"/>
      <c r="R526" s="49"/>
      <c r="S526" s="49"/>
      <c r="T526" s="49"/>
      <c r="U526" s="49"/>
      <c r="V526" s="49"/>
      <c r="W526" s="49"/>
      <c r="X526" s="49"/>
      <c r="Y526" s="49"/>
      <c r="Z526" s="49"/>
    </row>
    <row r="527" spans="1:26" ht="15.5">
      <c r="A527" s="1"/>
      <c r="B527" s="1"/>
      <c r="C527" s="1"/>
      <c r="D527" s="1"/>
      <c r="E527" s="1"/>
      <c r="F527" s="1"/>
      <c r="G527" s="1"/>
      <c r="H527" s="49"/>
      <c r="I527" s="49"/>
      <c r="J527" s="49"/>
      <c r="K527" s="49"/>
      <c r="L527" s="49"/>
      <c r="M527" s="49"/>
      <c r="N527" s="49"/>
      <c r="O527" s="49"/>
      <c r="P527" s="49"/>
      <c r="Q527" s="49"/>
      <c r="R527" s="49"/>
      <c r="S527" s="49"/>
      <c r="T527" s="49"/>
      <c r="U527" s="49"/>
      <c r="V527" s="49"/>
      <c r="W527" s="49"/>
      <c r="X527" s="49"/>
      <c r="Y527" s="49"/>
      <c r="Z527" s="49"/>
    </row>
    <row r="528" spans="1:26" ht="15.5">
      <c r="A528" s="1"/>
      <c r="B528" s="1"/>
      <c r="C528" s="1"/>
      <c r="D528" s="1"/>
      <c r="E528" s="1"/>
      <c r="F528" s="1"/>
      <c r="G528" s="1"/>
      <c r="H528" s="49"/>
      <c r="I528" s="49"/>
      <c r="J528" s="49"/>
      <c r="K528" s="49"/>
      <c r="L528" s="49"/>
      <c r="M528" s="49"/>
      <c r="N528" s="49"/>
      <c r="O528" s="49"/>
      <c r="P528" s="49"/>
      <c r="Q528" s="49"/>
      <c r="R528" s="49"/>
      <c r="S528" s="49"/>
      <c r="T528" s="49"/>
      <c r="U528" s="49"/>
      <c r="V528" s="49"/>
      <c r="W528" s="49"/>
      <c r="X528" s="49"/>
      <c r="Y528" s="49"/>
      <c r="Z528" s="49"/>
    </row>
    <row r="529" spans="1:26" ht="15.5">
      <c r="A529" s="1"/>
      <c r="B529" s="1"/>
      <c r="C529" s="1"/>
      <c r="D529" s="1"/>
      <c r="E529" s="1"/>
      <c r="F529" s="1"/>
      <c r="G529" s="1"/>
      <c r="H529" s="49"/>
      <c r="I529" s="49"/>
      <c r="J529" s="49"/>
      <c r="K529" s="49"/>
      <c r="L529" s="49"/>
      <c r="M529" s="49"/>
      <c r="N529" s="49"/>
      <c r="O529" s="49"/>
      <c r="P529" s="49"/>
      <c r="Q529" s="49"/>
      <c r="R529" s="49"/>
      <c r="S529" s="49"/>
      <c r="T529" s="49"/>
      <c r="U529" s="49"/>
      <c r="V529" s="49"/>
      <c r="W529" s="49"/>
      <c r="X529" s="49"/>
      <c r="Y529" s="49"/>
      <c r="Z529" s="49"/>
    </row>
    <row r="530" spans="1:26" ht="15.5">
      <c r="A530" s="1"/>
      <c r="B530" s="1"/>
      <c r="C530" s="1"/>
      <c r="D530" s="1"/>
      <c r="E530" s="1"/>
      <c r="F530" s="1"/>
      <c r="G530" s="1"/>
      <c r="H530" s="49"/>
      <c r="I530" s="49"/>
      <c r="J530" s="49"/>
      <c r="K530" s="49"/>
      <c r="L530" s="49"/>
      <c r="M530" s="49"/>
      <c r="N530" s="49"/>
      <c r="O530" s="49"/>
      <c r="P530" s="49"/>
      <c r="Q530" s="49"/>
      <c r="R530" s="49"/>
      <c r="S530" s="49"/>
      <c r="T530" s="49"/>
      <c r="U530" s="49"/>
      <c r="V530" s="49"/>
      <c r="W530" s="49"/>
      <c r="X530" s="49"/>
      <c r="Y530" s="49"/>
      <c r="Z530" s="49"/>
    </row>
    <row r="531" spans="1:26" ht="15.5">
      <c r="A531" s="1"/>
      <c r="B531" s="1"/>
      <c r="C531" s="1"/>
      <c r="D531" s="1"/>
      <c r="E531" s="1"/>
      <c r="F531" s="1"/>
      <c r="G531" s="1"/>
      <c r="H531" s="49"/>
      <c r="I531" s="49"/>
      <c r="J531" s="49"/>
      <c r="K531" s="49"/>
      <c r="L531" s="49"/>
      <c r="M531" s="49"/>
      <c r="N531" s="49"/>
      <c r="O531" s="49"/>
      <c r="P531" s="49"/>
      <c r="Q531" s="49"/>
      <c r="R531" s="49"/>
      <c r="S531" s="49"/>
      <c r="T531" s="49"/>
      <c r="U531" s="49"/>
      <c r="V531" s="49"/>
      <c r="W531" s="49"/>
      <c r="X531" s="49"/>
      <c r="Y531" s="49"/>
      <c r="Z531" s="49"/>
    </row>
    <row r="532" spans="1:26" ht="15.5">
      <c r="A532" s="1"/>
      <c r="B532" s="1"/>
      <c r="C532" s="1"/>
      <c r="D532" s="1"/>
      <c r="E532" s="1"/>
      <c r="F532" s="1"/>
      <c r="G532" s="1"/>
      <c r="H532" s="49"/>
      <c r="I532" s="49"/>
      <c r="J532" s="49"/>
      <c r="K532" s="49"/>
      <c r="L532" s="49"/>
      <c r="M532" s="49"/>
      <c r="N532" s="49"/>
      <c r="O532" s="49"/>
      <c r="P532" s="49"/>
      <c r="Q532" s="49"/>
      <c r="R532" s="49"/>
      <c r="S532" s="49"/>
      <c r="T532" s="49"/>
      <c r="U532" s="49"/>
      <c r="V532" s="49"/>
      <c r="W532" s="49"/>
      <c r="X532" s="49"/>
      <c r="Y532" s="49"/>
      <c r="Z532" s="49"/>
    </row>
    <row r="533" spans="1:26" ht="15.5">
      <c r="A533" s="1"/>
      <c r="B533" s="1"/>
      <c r="C533" s="1"/>
      <c r="D533" s="1"/>
      <c r="E533" s="1"/>
      <c r="F533" s="1"/>
      <c r="G533" s="1"/>
      <c r="H533" s="49"/>
      <c r="I533" s="49"/>
      <c r="J533" s="49"/>
      <c r="K533" s="49"/>
      <c r="L533" s="49"/>
      <c r="M533" s="49"/>
      <c r="N533" s="49"/>
      <c r="O533" s="49"/>
      <c r="P533" s="49"/>
      <c r="Q533" s="49"/>
      <c r="R533" s="49"/>
      <c r="S533" s="49"/>
      <c r="T533" s="49"/>
      <c r="U533" s="49"/>
      <c r="V533" s="49"/>
      <c r="W533" s="49"/>
      <c r="X533" s="49"/>
      <c r="Y533" s="49"/>
      <c r="Z533" s="49"/>
    </row>
    <row r="534" spans="1:26" ht="15.5">
      <c r="A534" s="1"/>
      <c r="B534" s="1"/>
      <c r="C534" s="1"/>
      <c r="D534" s="1"/>
      <c r="E534" s="1"/>
      <c r="F534" s="1"/>
      <c r="G534" s="1"/>
      <c r="H534" s="49"/>
      <c r="I534" s="49"/>
      <c r="J534" s="49"/>
      <c r="K534" s="49"/>
      <c r="L534" s="49"/>
      <c r="M534" s="49"/>
      <c r="N534" s="49"/>
      <c r="O534" s="49"/>
      <c r="P534" s="49"/>
      <c r="Q534" s="49"/>
      <c r="R534" s="49"/>
      <c r="S534" s="49"/>
      <c r="T534" s="49"/>
      <c r="U534" s="49"/>
      <c r="V534" s="49"/>
      <c r="W534" s="49"/>
      <c r="X534" s="49"/>
      <c r="Y534" s="49"/>
      <c r="Z534" s="49"/>
    </row>
    <row r="535" spans="1:26" ht="15.5">
      <c r="A535" s="1"/>
      <c r="B535" s="1"/>
      <c r="C535" s="1"/>
      <c r="D535" s="1"/>
      <c r="E535" s="1"/>
      <c r="F535" s="1"/>
      <c r="G535" s="1"/>
      <c r="H535" s="49"/>
      <c r="I535" s="49"/>
      <c r="J535" s="49"/>
      <c r="K535" s="49"/>
      <c r="L535" s="49"/>
      <c r="M535" s="49"/>
      <c r="N535" s="49"/>
      <c r="O535" s="49"/>
      <c r="P535" s="49"/>
      <c r="Q535" s="49"/>
      <c r="R535" s="49"/>
      <c r="S535" s="49"/>
      <c r="T535" s="49"/>
      <c r="U535" s="49"/>
      <c r="V535" s="49"/>
      <c r="W535" s="49"/>
      <c r="X535" s="49"/>
      <c r="Y535" s="49"/>
      <c r="Z535" s="49"/>
    </row>
    <row r="536" spans="1:26" ht="15.5">
      <c r="A536" s="1"/>
      <c r="B536" s="1"/>
      <c r="C536" s="1"/>
      <c r="D536" s="1"/>
      <c r="E536" s="1"/>
      <c r="F536" s="1"/>
      <c r="G536" s="1"/>
      <c r="H536" s="49"/>
      <c r="I536" s="49"/>
      <c r="J536" s="49"/>
      <c r="K536" s="49"/>
      <c r="L536" s="49"/>
      <c r="M536" s="49"/>
      <c r="N536" s="49"/>
      <c r="O536" s="49"/>
      <c r="P536" s="49"/>
      <c r="Q536" s="49"/>
      <c r="R536" s="49"/>
      <c r="S536" s="49"/>
      <c r="T536" s="49"/>
      <c r="U536" s="49"/>
      <c r="V536" s="49"/>
      <c r="W536" s="49"/>
      <c r="X536" s="49"/>
      <c r="Y536" s="49"/>
      <c r="Z536" s="49"/>
    </row>
    <row r="537" spans="1:26" ht="15.5">
      <c r="A537" s="1"/>
      <c r="B537" s="1"/>
      <c r="C537" s="1"/>
      <c r="D537" s="1"/>
      <c r="E537" s="1"/>
      <c r="F537" s="1"/>
      <c r="G537" s="1"/>
      <c r="H537" s="49"/>
      <c r="I537" s="49"/>
      <c r="J537" s="49"/>
      <c r="K537" s="49"/>
      <c r="L537" s="49"/>
      <c r="M537" s="49"/>
      <c r="N537" s="49"/>
      <c r="O537" s="49"/>
      <c r="P537" s="49"/>
      <c r="Q537" s="49"/>
      <c r="R537" s="49"/>
      <c r="S537" s="49"/>
      <c r="T537" s="49"/>
      <c r="U537" s="49"/>
      <c r="V537" s="49"/>
      <c r="W537" s="49"/>
      <c r="X537" s="49"/>
      <c r="Y537" s="49"/>
      <c r="Z537" s="49"/>
    </row>
    <row r="538" spans="1:26" ht="15.5">
      <c r="A538" s="1"/>
      <c r="B538" s="1"/>
      <c r="C538" s="1"/>
      <c r="D538" s="1"/>
      <c r="E538" s="1"/>
      <c r="F538" s="1"/>
      <c r="G538" s="1"/>
      <c r="H538" s="49"/>
      <c r="I538" s="49"/>
      <c r="J538" s="49"/>
      <c r="K538" s="49"/>
      <c r="L538" s="49"/>
      <c r="M538" s="49"/>
      <c r="N538" s="49"/>
      <c r="O538" s="49"/>
      <c r="P538" s="49"/>
      <c r="Q538" s="49"/>
      <c r="R538" s="49"/>
      <c r="S538" s="49"/>
      <c r="T538" s="49"/>
      <c r="U538" s="49"/>
      <c r="V538" s="49"/>
      <c r="W538" s="49"/>
      <c r="X538" s="49"/>
      <c r="Y538" s="49"/>
      <c r="Z538" s="49"/>
    </row>
    <row r="539" spans="1:26" ht="15.5">
      <c r="A539" s="1"/>
      <c r="B539" s="1"/>
      <c r="C539" s="1"/>
      <c r="D539" s="1"/>
      <c r="E539" s="1"/>
      <c r="F539" s="1"/>
      <c r="G539" s="1"/>
      <c r="H539" s="49"/>
      <c r="I539" s="49"/>
      <c r="J539" s="49"/>
      <c r="K539" s="49"/>
      <c r="L539" s="49"/>
      <c r="M539" s="49"/>
      <c r="N539" s="49"/>
      <c r="O539" s="49"/>
      <c r="P539" s="49"/>
      <c r="Q539" s="49"/>
      <c r="R539" s="49"/>
      <c r="S539" s="49"/>
      <c r="T539" s="49"/>
      <c r="U539" s="49"/>
      <c r="V539" s="49"/>
      <c r="W539" s="49"/>
      <c r="X539" s="49"/>
      <c r="Y539" s="49"/>
      <c r="Z539" s="49"/>
    </row>
    <row r="540" spans="1:26" ht="15.5">
      <c r="A540" s="1"/>
      <c r="B540" s="1"/>
      <c r="C540" s="1"/>
      <c r="D540" s="1"/>
      <c r="E540" s="1"/>
      <c r="F540" s="1"/>
      <c r="G540" s="1"/>
      <c r="H540" s="49"/>
      <c r="I540" s="49"/>
      <c r="J540" s="49"/>
      <c r="K540" s="49"/>
      <c r="L540" s="49"/>
      <c r="M540" s="49"/>
      <c r="N540" s="49"/>
      <c r="O540" s="49"/>
      <c r="P540" s="49"/>
      <c r="Q540" s="49"/>
      <c r="R540" s="49"/>
      <c r="S540" s="49"/>
      <c r="T540" s="49"/>
      <c r="U540" s="49"/>
      <c r="V540" s="49"/>
      <c r="W540" s="49"/>
      <c r="X540" s="49"/>
      <c r="Y540" s="49"/>
      <c r="Z540" s="49"/>
    </row>
    <row r="541" spans="1:26" ht="15.5">
      <c r="A541" s="1"/>
      <c r="B541" s="1"/>
      <c r="C541" s="1"/>
      <c r="D541" s="1"/>
      <c r="E541" s="1"/>
      <c r="F541" s="1"/>
      <c r="G541" s="1"/>
      <c r="H541" s="49"/>
      <c r="I541" s="49"/>
      <c r="J541" s="49"/>
      <c r="K541" s="49"/>
      <c r="L541" s="49"/>
      <c r="M541" s="49"/>
      <c r="N541" s="49"/>
      <c r="O541" s="49"/>
      <c r="P541" s="49"/>
      <c r="Q541" s="49"/>
      <c r="R541" s="49"/>
      <c r="S541" s="49"/>
      <c r="T541" s="49"/>
      <c r="U541" s="49"/>
      <c r="V541" s="49"/>
      <c r="W541" s="49"/>
      <c r="X541" s="49"/>
      <c r="Y541" s="49"/>
      <c r="Z541" s="49"/>
    </row>
    <row r="542" spans="1:26" ht="15.5">
      <c r="A542" s="1"/>
      <c r="B542" s="1"/>
      <c r="C542" s="1"/>
      <c r="D542" s="1"/>
      <c r="E542" s="1"/>
      <c r="F542" s="1"/>
      <c r="G542" s="1"/>
      <c r="H542" s="49"/>
      <c r="I542" s="49"/>
      <c r="J542" s="49"/>
      <c r="K542" s="49"/>
      <c r="L542" s="49"/>
      <c r="M542" s="49"/>
      <c r="N542" s="49"/>
      <c r="O542" s="49"/>
      <c r="P542" s="49"/>
      <c r="Q542" s="49"/>
      <c r="R542" s="49"/>
      <c r="S542" s="49"/>
      <c r="T542" s="49"/>
      <c r="U542" s="49"/>
      <c r="V542" s="49"/>
      <c r="W542" s="49"/>
      <c r="X542" s="49"/>
      <c r="Y542" s="49"/>
      <c r="Z542" s="49"/>
    </row>
    <row r="543" spans="1:26" ht="15.5">
      <c r="A543" s="1"/>
      <c r="B543" s="1"/>
      <c r="C543" s="1"/>
      <c r="D543" s="1"/>
      <c r="E543" s="1"/>
      <c r="F543" s="1"/>
      <c r="G543" s="1"/>
      <c r="H543" s="49"/>
      <c r="I543" s="49"/>
      <c r="J543" s="49"/>
      <c r="K543" s="49"/>
      <c r="L543" s="49"/>
      <c r="M543" s="49"/>
      <c r="N543" s="49"/>
      <c r="O543" s="49"/>
      <c r="P543" s="49"/>
      <c r="Q543" s="49"/>
      <c r="R543" s="49"/>
      <c r="S543" s="49"/>
      <c r="T543" s="49"/>
      <c r="U543" s="49"/>
      <c r="V543" s="49"/>
      <c r="W543" s="49"/>
      <c r="X543" s="49"/>
      <c r="Y543" s="49"/>
      <c r="Z543" s="49"/>
    </row>
    <row r="544" spans="1:26" ht="15.5">
      <c r="A544" s="1"/>
      <c r="B544" s="1"/>
      <c r="C544" s="1"/>
      <c r="D544" s="1"/>
      <c r="E544" s="1"/>
      <c r="F544" s="1"/>
      <c r="G544" s="1"/>
      <c r="H544" s="49"/>
      <c r="I544" s="49"/>
      <c r="J544" s="49"/>
      <c r="K544" s="49"/>
      <c r="L544" s="49"/>
      <c r="M544" s="49"/>
      <c r="N544" s="49"/>
      <c r="O544" s="49"/>
      <c r="P544" s="49"/>
      <c r="Q544" s="49"/>
      <c r="R544" s="49"/>
      <c r="S544" s="49"/>
      <c r="T544" s="49"/>
      <c r="U544" s="49"/>
      <c r="V544" s="49"/>
      <c r="W544" s="49"/>
      <c r="X544" s="49"/>
      <c r="Y544" s="49"/>
      <c r="Z544" s="49"/>
    </row>
    <row r="545" spans="1:26" ht="15.5">
      <c r="A545" s="1"/>
      <c r="B545" s="1"/>
      <c r="C545" s="1"/>
      <c r="D545" s="1"/>
      <c r="E545" s="1"/>
      <c r="F545" s="1"/>
      <c r="G545" s="1"/>
      <c r="H545" s="49"/>
      <c r="I545" s="49"/>
      <c r="J545" s="49"/>
      <c r="K545" s="49"/>
      <c r="L545" s="49"/>
      <c r="M545" s="49"/>
      <c r="N545" s="49"/>
      <c r="O545" s="49"/>
      <c r="P545" s="49"/>
      <c r="Q545" s="49"/>
      <c r="R545" s="49"/>
      <c r="S545" s="49"/>
      <c r="T545" s="49"/>
      <c r="U545" s="49"/>
      <c r="V545" s="49"/>
      <c r="W545" s="49"/>
      <c r="X545" s="49"/>
      <c r="Y545" s="49"/>
      <c r="Z545" s="49"/>
    </row>
    <row r="546" spans="1:26" ht="15.5">
      <c r="A546" s="1"/>
      <c r="B546" s="1"/>
      <c r="C546" s="1"/>
      <c r="D546" s="1"/>
      <c r="E546" s="1"/>
      <c r="F546" s="1"/>
      <c r="G546" s="1"/>
      <c r="H546" s="49"/>
      <c r="I546" s="49"/>
      <c r="J546" s="49"/>
      <c r="K546" s="49"/>
      <c r="L546" s="49"/>
      <c r="M546" s="49"/>
      <c r="N546" s="49"/>
      <c r="O546" s="49"/>
      <c r="P546" s="49"/>
      <c r="Q546" s="49"/>
      <c r="R546" s="49"/>
      <c r="S546" s="49"/>
      <c r="T546" s="49"/>
      <c r="U546" s="49"/>
      <c r="V546" s="49"/>
      <c r="W546" s="49"/>
      <c r="X546" s="49"/>
      <c r="Y546" s="49"/>
      <c r="Z546" s="49"/>
    </row>
    <row r="547" spans="1:26" ht="15.5">
      <c r="A547" s="1"/>
      <c r="B547" s="1"/>
      <c r="C547" s="1"/>
      <c r="D547" s="1"/>
      <c r="E547" s="1"/>
      <c r="F547" s="1"/>
      <c r="G547" s="1"/>
      <c r="H547" s="49"/>
      <c r="I547" s="49"/>
      <c r="J547" s="49"/>
      <c r="K547" s="49"/>
      <c r="L547" s="49"/>
      <c r="M547" s="49"/>
      <c r="N547" s="49"/>
      <c r="O547" s="49"/>
      <c r="P547" s="49"/>
      <c r="Q547" s="49"/>
      <c r="R547" s="49"/>
      <c r="S547" s="49"/>
      <c r="T547" s="49"/>
      <c r="U547" s="49"/>
      <c r="V547" s="49"/>
      <c r="W547" s="49"/>
      <c r="X547" s="49"/>
      <c r="Y547" s="49"/>
      <c r="Z547" s="49"/>
    </row>
    <row r="548" spans="1:26" ht="15.5">
      <c r="A548" s="1"/>
      <c r="B548" s="1"/>
      <c r="C548" s="1"/>
      <c r="D548" s="1"/>
      <c r="E548" s="1"/>
      <c r="F548" s="1"/>
      <c r="G548" s="1"/>
      <c r="H548" s="49"/>
      <c r="I548" s="49"/>
      <c r="J548" s="49"/>
      <c r="K548" s="49"/>
      <c r="L548" s="49"/>
      <c r="M548" s="49"/>
      <c r="N548" s="49"/>
      <c r="O548" s="49"/>
      <c r="P548" s="49"/>
      <c r="Q548" s="49"/>
      <c r="R548" s="49"/>
      <c r="S548" s="49"/>
      <c r="T548" s="49"/>
      <c r="U548" s="49"/>
      <c r="V548" s="49"/>
      <c r="W548" s="49"/>
      <c r="X548" s="49"/>
      <c r="Y548" s="49"/>
      <c r="Z548" s="49"/>
    </row>
    <row r="549" spans="1:26" ht="15.5">
      <c r="A549" s="1"/>
      <c r="B549" s="1"/>
      <c r="C549" s="1"/>
      <c r="D549" s="1"/>
      <c r="E549" s="1"/>
      <c r="F549" s="1"/>
      <c r="G549" s="1"/>
      <c r="H549" s="49"/>
      <c r="I549" s="49"/>
      <c r="J549" s="49"/>
      <c r="K549" s="49"/>
      <c r="L549" s="49"/>
      <c r="M549" s="49"/>
      <c r="N549" s="49"/>
      <c r="O549" s="49"/>
      <c r="P549" s="49"/>
      <c r="Q549" s="49"/>
      <c r="R549" s="49"/>
      <c r="S549" s="49"/>
      <c r="T549" s="49"/>
      <c r="U549" s="49"/>
      <c r="V549" s="49"/>
      <c r="W549" s="49"/>
      <c r="X549" s="49"/>
      <c r="Y549" s="49"/>
      <c r="Z549" s="49"/>
    </row>
    <row r="550" spans="1:26" ht="15.5">
      <c r="A550" s="1"/>
      <c r="B550" s="1"/>
      <c r="C550" s="1"/>
      <c r="D550" s="1"/>
      <c r="E550" s="1"/>
      <c r="F550" s="1"/>
      <c r="G550" s="1"/>
      <c r="H550" s="49"/>
      <c r="I550" s="49"/>
      <c r="J550" s="49"/>
      <c r="K550" s="49"/>
      <c r="L550" s="49"/>
      <c r="M550" s="49"/>
      <c r="N550" s="49"/>
      <c r="O550" s="49"/>
      <c r="P550" s="49"/>
      <c r="Q550" s="49"/>
      <c r="R550" s="49"/>
      <c r="S550" s="49"/>
      <c r="T550" s="49"/>
      <c r="U550" s="49"/>
      <c r="V550" s="49"/>
      <c r="W550" s="49"/>
      <c r="X550" s="49"/>
      <c r="Y550" s="49"/>
      <c r="Z550" s="49"/>
    </row>
    <row r="551" spans="1:26" ht="15.5">
      <c r="A551" s="1"/>
      <c r="B551" s="1"/>
      <c r="C551" s="1"/>
      <c r="D551" s="1"/>
      <c r="E551" s="1"/>
      <c r="F551" s="1"/>
      <c r="G551" s="1"/>
      <c r="H551" s="49"/>
      <c r="I551" s="49"/>
      <c r="J551" s="49"/>
      <c r="K551" s="49"/>
      <c r="L551" s="49"/>
      <c r="M551" s="49"/>
      <c r="N551" s="49"/>
      <c r="O551" s="49"/>
      <c r="P551" s="49"/>
      <c r="Q551" s="49"/>
      <c r="R551" s="49"/>
      <c r="S551" s="49"/>
      <c r="T551" s="49"/>
      <c r="U551" s="49"/>
      <c r="V551" s="49"/>
      <c r="W551" s="49"/>
      <c r="X551" s="49"/>
      <c r="Y551" s="49"/>
      <c r="Z551" s="49"/>
    </row>
    <row r="552" spans="1:26" ht="15.5">
      <c r="A552" s="1"/>
      <c r="B552" s="1"/>
      <c r="C552" s="1"/>
      <c r="D552" s="1"/>
      <c r="E552" s="1"/>
      <c r="F552" s="1"/>
      <c r="G552" s="1"/>
      <c r="H552" s="49"/>
      <c r="I552" s="49"/>
      <c r="J552" s="49"/>
      <c r="K552" s="49"/>
      <c r="L552" s="49"/>
      <c r="M552" s="49"/>
      <c r="N552" s="49"/>
      <c r="O552" s="49"/>
      <c r="P552" s="49"/>
      <c r="Q552" s="49"/>
      <c r="R552" s="49"/>
      <c r="S552" s="49"/>
      <c r="T552" s="49"/>
      <c r="U552" s="49"/>
      <c r="V552" s="49"/>
      <c r="W552" s="49"/>
      <c r="X552" s="49"/>
      <c r="Y552" s="49"/>
      <c r="Z552" s="49"/>
    </row>
    <row r="553" spans="1:26" ht="15.5">
      <c r="A553" s="1"/>
      <c r="B553" s="1"/>
      <c r="C553" s="1"/>
      <c r="D553" s="1"/>
      <c r="E553" s="1"/>
      <c r="F553" s="1"/>
      <c r="G553" s="1"/>
      <c r="H553" s="49"/>
      <c r="I553" s="49"/>
      <c r="J553" s="49"/>
      <c r="K553" s="49"/>
      <c r="L553" s="49"/>
      <c r="M553" s="49"/>
      <c r="N553" s="49"/>
      <c r="O553" s="49"/>
      <c r="P553" s="49"/>
      <c r="Q553" s="49"/>
      <c r="R553" s="49"/>
      <c r="S553" s="49"/>
      <c r="T553" s="49"/>
      <c r="U553" s="49"/>
      <c r="V553" s="49"/>
      <c r="W553" s="49"/>
      <c r="X553" s="49"/>
      <c r="Y553" s="49"/>
      <c r="Z553" s="49"/>
    </row>
    <row r="554" spans="1:26" ht="15.5">
      <c r="A554" s="1"/>
      <c r="B554" s="1"/>
      <c r="C554" s="1"/>
      <c r="D554" s="1"/>
      <c r="E554" s="1"/>
      <c r="F554" s="1"/>
      <c r="G554" s="1"/>
      <c r="H554" s="49"/>
      <c r="I554" s="49"/>
      <c r="J554" s="49"/>
      <c r="K554" s="49"/>
      <c r="L554" s="49"/>
      <c r="M554" s="49"/>
      <c r="N554" s="49"/>
      <c r="O554" s="49"/>
      <c r="P554" s="49"/>
      <c r="Q554" s="49"/>
      <c r="R554" s="49"/>
      <c r="S554" s="49"/>
      <c r="T554" s="49"/>
      <c r="U554" s="49"/>
      <c r="V554" s="49"/>
      <c r="W554" s="49"/>
      <c r="X554" s="49"/>
      <c r="Y554" s="49"/>
      <c r="Z554" s="49"/>
    </row>
    <row r="555" spans="1:26" ht="15.5">
      <c r="A555" s="1"/>
      <c r="B555" s="1"/>
      <c r="C555" s="1"/>
      <c r="D555" s="1"/>
      <c r="E555" s="1"/>
      <c r="F555" s="1"/>
      <c r="G555" s="1"/>
      <c r="H555" s="49"/>
      <c r="I555" s="49"/>
      <c r="J555" s="49"/>
      <c r="K555" s="49"/>
      <c r="L555" s="49"/>
      <c r="M555" s="49"/>
      <c r="N555" s="49"/>
      <c r="O555" s="49"/>
      <c r="P555" s="49"/>
      <c r="Q555" s="49"/>
      <c r="R555" s="49"/>
      <c r="S555" s="49"/>
      <c r="T555" s="49"/>
      <c r="U555" s="49"/>
      <c r="V555" s="49"/>
      <c r="W555" s="49"/>
      <c r="X555" s="49"/>
      <c r="Y555" s="49"/>
      <c r="Z555" s="49"/>
    </row>
    <row r="556" spans="1:26" ht="15.5">
      <c r="A556" s="1"/>
      <c r="B556" s="1"/>
      <c r="C556" s="1"/>
      <c r="D556" s="1"/>
      <c r="E556" s="1"/>
      <c r="F556" s="1"/>
      <c r="G556" s="1"/>
      <c r="H556" s="49"/>
      <c r="I556" s="49"/>
      <c r="J556" s="49"/>
      <c r="K556" s="49"/>
      <c r="L556" s="49"/>
      <c r="M556" s="49"/>
      <c r="N556" s="49"/>
      <c r="O556" s="49"/>
      <c r="P556" s="49"/>
      <c r="Q556" s="49"/>
      <c r="R556" s="49"/>
      <c r="S556" s="49"/>
      <c r="T556" s="49"/>
      <c r="U556" s="49"/>
      <c r="V556" s="49"/>
      <c r="W556" s="49"/>
      <c r="X556" s="49"/>
      <c r="Y556" s="49"/>
      <c r="Z556" s="49"/>
    </row>
    <row r="557" spans="1:26" ht="15.5">
      <c r="A557" s="1"/>
      <c r="B557" s="1"/>
      <c r="C557" s="1"/>
      <c r="D557" s="1"/>
      <c r="E557" s="1"/>
      <c r="F557" s="1"/>
      <c r="G557" s="1"/>
      <c r="H557" s="49"/>
      <c r="I557" s="49"/>
      <c r="J557" s="49"/>
      <c r="K557" s="49"/>
      <c r="L557" s="49"/>
      <c r="M557" s="49"/>
      <c r="N557" s="49"/>
      <c r="O557" s="49"/>
      <c r="P557" s="49"/>
      <c r="Q557" s="49"/>
      <c r="R557" s="49"/>
      <c r="S557" s="49"/>
      <c r="T557" s="49"/>
      <c r="U557" s="49"/>
      <c r="V557" s="49"/>
      <c r="W557" s="49"/>
      <c r="X557" s="49"/>
      <c r="Y557" s="49"/>
      <c r="Z557" s="49"/>
    </row>
    <row r="558" spans="1:26" ht="15.5">
      <c r="A558" s="1"/>
      <c r="B558" s="1"/>
      <c r="C558" s="1"/>
      <c r="D558" s="1"/>
      <c r="E558" s="1"/>
      <c r="F558" s="1"/>
      <c r="G558" s="1"/>
      <c r="H558" s="49"/>
      <c r="I558" s="49"/>
      <c r="J558" s="49"/>
      <c r="K558" s="49"/>
      <c r="L558" s="49"/>
      <c r="M558" s="49"/>
      <c r="N558" s="49"/>
      <c r="O558" s="49"/>
      <c r="P558" s="49"/>
      <c r="Q558" s="49"/>
      <c r="R558" s="49"/>
      <c r="S558" s="49"/>
      <c r="T558" s="49"/>
      <c r="U558" s="49"/>
      <c r="V558" s="49"/>
      <c r="W558" s="49"/>
      <c r="X558" s="49"/>
      <c r="Y558" s="49"/>
      <c r="Z558" s="49"/>
    </row>
    <row r="559" spans="1:26" ht="15.5">
      <c r="A559" s="1"/>
      <c r="B559" s="1"/>
      <c r="C559" s="1"/>
      <c r="D559" s="1"/>
      <c r="E559" s="1"/>
      <c r="F559" s="1"/>
      <c r="G559" s="1"/>
      <c r="H559" s="49"/>
      <c r="I559" s="49"/>
      <c r="J559" s="49"/>
      <c r="K559" s="49"/>
      <c r="L559" s="49"/>
      <c r="M559" s="49"/>
      <c r="N559" s="49"/>
      <c r="O559" s="49"/>
      <c r="P559" s="49"/>
      <c r="Q559" s="49"/>
      <c r="R559" s="49"/>
      <c r="S559" s="49"/>
      <c r="T559" s="49"/>
      <c r="U559" s="49"/>
      <c r="V559" s="49"/>
      <c r="W559" s="49"/>
      <c r="X559" s="49"/>
      <c r="Y559" s="49"/>
      <c r="Z559" s="49"/>
    </row>
    <row r="560" spans="1:26" ht="15.5">
      <c r="A560" s="1"/>
      <c r="B560" s="1"/>
      <c r="C560" s="1"/>
      <c r="D560" s="1"/>
      <c r="E560" s="1"/>
      <c r="F560" s="1"/>
      <c r="G560" s="1"/>
      <c r="H560" s="49"/>
      <c r="I560" s="49"/>
      <c r="J560" s="49"/>
      <c r="K560" s="49"/>
      <c r="L560" s="49"/>
      <c r="M560" s="49"/>
      <c r="N560" s="49"/>
      <c r="O560" s="49"/>
      <c r="P560" s="49"/>
      <c r="Q560" s="49"/>
      <c r="R560" s="49"/>
      <c r="S560" s="49"/>
      <c r="T560" s="49"/>
      <c r="U560" s="49"/>
      <c r="V560" s="49"/>
      <c r="W560" s="49"/>
      <c r="X560" s="49"/>
      <c r="Y560" s="49"/>
      <c r="Z560" s="49"/>
    </row>
    <row r="561" spans="1:26" ht="15.5">
      <c r="A561" s="1"/>
      <c r="B561" s="1"/>
      <c r="C561" s="1"/>
      <c r="D561" s="1"/>
      <c r="E561" s="1"/>
      <c r="F561" s="1"/>
      <c r="G561" s="1"/>
      <c r="H561" s="49"/>
      <c r="I561" s="49"/>
      <c r="J561" s="49"/>
      <c r="K561" s="49"/>
      <c r="L561" s="49"/>
      <c r="M561" s="49"/>
      <c r="N561" s="49"/>
      <c r="O561" s="49"/>
      <c r="P561" s="49"/>
      <c r="Q561" s="49"/>
      <c r="R561" s="49"/>
      <c r="S561" s="49"/>
      <c r="T561" s="49"/>
      <c r="U561" s="49"/>
      <c r="V561" s="49"/>
      <c r="W561" s="49"/>
      <c r="X561" s="49"/>
      <c r="Y561" s="49"/>
      <c r="Z561" s="49"/>
    </row>
    <row r="562" spans="1:26" ht="15.5">
      <c r="A562" s="1"/>
      <c r="B562" s="1"/>
      <c r="C562" s="1"/>
      <c r="D562" s="1"/>
      <c r="E562" s="1"/>
      <c r="F562" s="1"/>
      <c r="G562" s="1"/>
      <c r="H562" s="49"/>
      <c r="I562" s="49"/>
      <c r="J562" s="49"/>
      <c r="K562" s="49"/>
      <c r="L562" s="49"/>
      <c r="M562" s="49"/>
      <c r="N562" s="49"/>
      <c r="O562" s="49"/>
      <c r="P562" s="49"/>
      <c r="Q562" s="49"/>
      <c r="R562" s="49"/>
      <c r="S562" s="49"/>
      <c r="T562" s="49"/>
      <c r="U562" s="49"/>
      <c r="V562" s="49"/>
      <c r="W562" s="49"/>
      <c r="X562" s="49"/>
      <c r="Y562" s="49"/>
      <c r="Z562" s="49"/>
    </row>
    <row r="563" spans="1:26" ht="15.5">
      <c r="A563" s="1"/>
      <c r="B563" s="1"/>
      <c r="C563" s="1"/>
      <c r="D563" s="1"/>
      <c r="E563" s="1"/>
      <c r="F563" s="1"/>
      <c r="G563" s="1"/>
      <c r="H563" s="49"/>
      <c r="I563" s="49"/>
      <c r="J563" s="49"/>
      <c r="K563" s="49"/>
      <c r="L563" s="49"/>
      <c r="M563" s="49"/>
      <c r="N563" s="49"/>
      <c r="O563" s="49"/>
      <c r="P563" s="49"/>
      <c r="Q563" s="49"/>
      <c r="R563" s="49"/>
      <c r="S563" s="49"/>
      <c r="T563" s="49"/>
      <c r="U563" s="49"/>
      <c r="V563" s="49"/>
      <c r="W563" s="49"/>
      <c r="X563" s="49"/>
      <c r="Y563" s="49"/>
      <c r="Z563" s="49"/>
    </row>
    <row r="564" spans="1:26" ht="15.5">
      <c r="A564" s="1"/>
      <c r="B564" s="1"/>
      <c r="C564" s="1"/>
      <c r="D564" s="1"/>
      <c r="E564" s="1"/>
      <c r="F564" s="1"/>
      <c r="G564" s="1"/>
      <c r="H564" s="49"/>
      <c r="I564" s="49"/>
      <c r="J564" s="49"/>
      <c r="K564" s="49"/>
      <c r="L564" s="49"/>
      <c r="M564" s="49"/>
      <c r="N564" s="49"/>
      <c r="O564" s="49"/>
      <c r="P564" s="49"/>
      <c r="Q564" s="49"/>
      <c r="R564" s="49"/>
      <c r="S564" s="49"/>
      <c r="T564" s="49"/>
      <c r="U564" s="49"/>
      <c r="V564" s="49"/>
      <c r="W564" s="49"/>
      <c r="X564" s="49"/>
      <c r="Y564" s="49"/>
      <c r="Z564" s="49"/>
    </row>
    <row r="565" spans="1:26" ht="15.5">
      <c r="A565" s="1"/>
      <c r="B565" s="1"/>
      <c r="C565" s="1"/>
      <c r="D565" s="1"/>
      <c r="E565" s="1"/>
      <c r="F565" s="1"/>
      <c r="G565" s="1"/>
      <c r="H565" s="49"/>
      <c r="I565" s="49"/>
      <c r="J565" s="49"/>
      <c r="K565" s="49"/>
      <c r="L565" s="49"/>
      <c r="M565" s="49"/>
      <c r="N565" s="49"/>
      <c r="O565" s="49"/>
      <c r="P565" s="49"/>
      <c r="Q565" s="49"/>
      <c r="R565" s="49"/>
      <c r="S565" s="49"/>
      <c r="T565" s="49"/>
      <c r="U565" s="49"/>
      <c r="V565" s="49"/>
      <c r="W565" s="49"/>
      <c r="X565" s="49"/>
      <c r="Y565" s="49"/>
      <c r="Z565" s="49"/>
    </row>
    <row r="566" spans="1:26" ht="15.5">
      <c r="A566" s="1"/>
      <c r="B566" s="1"/>
      <c r="C566" s="1"/>
      <c r="D566" s="1"/>
      <c r="E566" s="1"/>
      <c r="F566" s="1"/>
      <c r="G566" s="1"/>
      <c r="H566" s="49"/>
      <c r="I566" s="49"/>
      <c r="J566" s="49"/>
      <c r="K566" s="49"/>
      <c r="L566" s="49"/>
      <c r="M566" s="49"/>
      <c r="N566" s="49"/>
      <c r="O566" s="49"/>
      <c r="P566" s="49"/>
      <c r="Q566" s="49"/>
      <c r="R566" s="49"/>
      <c r="S566" s="49"/>
      <c r="T566" s="49"/>
      <c r="U566" s="49"/>
      <c r="V566" s="49"/>
      <c r="W566" s="49"/>
      <c r="X566" s="49"/>
      <c r="Y566" s="49"/>
      <c r="Z566" s="49"/>
    </row>
    <row r="567" spans="1:26" ht="15.5">
      <c r="A567" s="1"/>
      <c r="B567" s="1"/>
      <c r="C567" s="1"/>
      <c r="D567" s="1"/>
      <c r="E567" s="1"/>
      <c r="F567" s="1"/>
      <c r="G567" s="1"/>
      <c r="H567" s="49"/>
      <c r="I567" s="49"/>
      <c r="J567" s="49"/>
      <c r="K567" s="49"/>
      <c r="L567" s="49"/>
      <c r="M567" s="49"/>
      <c r="N567" s="49"/>
      <c r="O567" s="49"/>
      <c r="P567" s="49"/>
      <c r="Q567" s="49"/>
      <c r="R567" s="49"/>
      <c r="S567" s="49"/>
      <c r="T567" s="49"/>
      <c r="U567" s="49"/>
      <c r="V567" s="49"/>
      <c r="W567" s="49"/>
      <c r="X567" s="49"/>
      <c r="Y567" s="49"/>
      <c r="Z567" s="49"/>
    </row>
    <row r="568" spans="1:26" ht="15.5">
      <c r="A568" s="1"/>
      <c r="B568" s="1"/>
      <c r="C568" s="1"/>
      <c r="D568" s="1"/>
      <c r="E568" s="1"/>
      <c r="F568" s="1"/>
      <c r="G568" s="1"/>
      <c r="H568" s="49"/>
      <c r="I568" s="49"/>
      <c r="J568" s="49"/>
      <c r="K568" s="49"/>
      <c r="L568" s="49"/>
      <c r="M568" s="49"/>
      <c r="N568" s="49"/>
      <c r="O568" s="49"/>
      <c r="P568" s="49"/>
      <c r="Q568" s="49"/>
      <c r="R568" s="49"/>
      <c r="S568" s="49"/>
      <c r="T568" s="49"/>
      <c r="U568" s="49"/>
      <c r="V568" s="49"/>
      <c r="W568" s="49"/>
      <c r="X568" s="49"/>
      <c r="Y568" s="49"/>
      <c r="Z568" s="49"/>
    </row>
    <row r="569" spans="1:26" ht="15.5">
      <c r="A569" s="1"/>
      <c r="B569" s="1"/>
      <c r="C569" s="1"/>
      <c r="D569" s="1"/>
      <c r="E569" s="1"/>
      <c r="F569" s="1"/>
      <c r="G569" s="1"/>
      <c r="H569" s="49"/>
      <c r="I569" s="49"/>
      <c r="J569" s="49"/>
      <c r="K569" s="49"/>
      <c r="L569" s="49"/>
      <c r="M569" s="49"/>
      <c r="N569" s="49"/>
      <c r="O569" s="49"/>
      <c r="P569" s="49"/>
      <c r="Q569" s="49"/>
      <c r="R569" s="49"/>
      <c r="S569" s="49"/>
      <c r="T569" s="49"/>
      <c r="U569" s="49"/>
      <c r="V569" s="49"/>
      <c r="W569" s="49"/>
      <c r="X569" s="49"/>
      <c r="Y569" s="49"/>
      <c r="Z569" s="49"/>
    </row>
    <row r="570" spans="1:26" ht="15.5">
      <c r="A570" s="1"/>
      <c r="B570" s="1"/>
      <c r="C570" s="1"/>
      <c r="D570" s="1"/>
      <c r="E570" s="1"/>
      <c r="F570" s="1"/>
      <c r="G570" s="1"/>
      <c r="H570" s="49"/>
      <c r="I570" s="49"/>
      <c r="J570" s="49"/>
      <c r="K570" s="49"/>
      <c r="L570" s="49"/>
      <c r="M570" s="49"/>
      <c r="N570" s="49"/>
      <c r="O570" s="49"/>
      <c r="P570" s="49"/>
      <c r="Q570" s="49"/>
      <c r="R570" s="49"/>
      <c r="S570" s="49"/>
      <c r="T570" s="49"/>
      <c r="U570" s="49"/>
      <c r="V570" s="49"/>
      <c r="W570" s="49"/>
      <c r="X570" s="49"/>
      <c r="Y570" s="49"/>
      <c r="Z570" s="49"/>
    </row>
    <row r="571" spans="1:26" ht="15.5">
      <c r="A571" s="1"/>
      <c r="B571" s="1"/>
      <c r="C571" s="1"/>
      <c r="D571" s="1"/>
      <c r="E571" s="1"/>
      <c r="F571" s="1"/>
      <c r="G571" s="1"/>
      <c r="H571" s="49"/>
      <c r="I571" s="49"/>
      <c r="J571" s="49"/>
      <c r="K571" s="49"/>
      <c r="L571" s="49"/>
      <c r="M571" s="49"/>
      <c r="N571" s="49"/>
      <c r="O571" s="49"/>
      <c r="P571" s="49"/>
      <c r="Q571" s="49"/>
      <c r="R571" s="49"/>
      <c r="S571" s="49"/>
      <c r="T571" s="49"/>
      <c r="U571" s="49"/>
      <c r="V571" s="49"/>
      <c r="W571" s="49"/>
      <c r="X571" s="49"/>
      <c r="Y571" s="49"/>
      <c r="Z571" s="49"/>
    </row>
    <row r="572" spans="1:26" ht="15.5">
      <c r="A572" s="1"/>
      <c r="B572" s="1"/>
      <c r="C572" s="1"/>
      <c r="D572" s="1"/>
      <c r="E572" s="1"/>
      <c r="F572" s="1"/>
      <c r="G572" s="1"/>
      <c r="H572" s="49"/>
      <c r="I572" s="49"/>
      <c r="J572" s="49"/>
      <c r="K572" s="49"/>
      <c r="L572" s="49"/>
      <c r="M572" s="49"/>
      <c r="N572" s="49"/>
      <c r="O572" s="49"/>
      <c r="P572" s="49"/>
      <c r="Q572" s="49"/>
      <c r="R572" s="49"/>
      <c r="S572" s="49"/>
      <c r="T572" s="49"/>
      <c r="U572" s="49"/>
      <c r="V572" s="49"/>
      <c r="W572" s="49"/>
      <c r="X572" s="49"/>
      <c r="Y572" s="49"/>
      <c r="Z572" s="49"/>
    </row>
    <row r="573" spans="1:26" ht="15.5">
      <c r="A573" s="1"/>
      <c r="B573" s="1"/>
      <c r="C573" s="1"/>
      <c r="D573" s="1"/>
      <c r="E573" s="1"/>
      <c r="F573" s="1"/>
      <c r="G573" s="1"/>
      <c r="H573" s="49"/>
      <c r="I573" s="49"/>
      <c r="J573" s="49"/>
      <c r="K573" s="49"/>
      <c r="L573" s="49"/>
      <c r="M573" s="49"/>
      <c r="N573" s="49"/>
      <c r="O573" s="49"/>
      <c r="P573" s="49"/>
      <c r="Q573" s="49"/>
      <c r="R573" s="49"/>
      <c r="S573" s="49"/>
      <c r="T573" s="49"/>
      <c r="U573" s="49"/>
      <c r="V573" s="49"/>
      <c r="W573" s="49"/>
      <c r="X573" s="49"/>
      <c r="Y573" s="49"/>
      <c r="Z573" s="49"/>
    </row>
    <row r="574" spans="1:26" ht="15.5">
      <c r="A574" s="1"/>
      <c r="B574" s="1"/>
      <c r="C574" s="1"/>
      <c r="D574" s="1"/>
      <c r="E574" s="1"/>
      <c r="F574" s="1"/>
      <c r="G574" s="1"/>
      <c r="H574" s="49"/>
      <c r="I574" s="49"/>
      <c r="J574" s="49"/>
      <c r="K574" s="49"/>
      <c r="L574" s="49"/>
      <c r="M574" s="49"/>
      <c r="N574" s="49"/>
      <c r="O574" s="49"/>
      <c r="P574" s="49"/>
      <c r="Q574" s="49"/>
      <c r="R574" s="49"/>
      <c r="S574" s="49"/>
      <c r="T574" s="49"/>
      <c r="U574" s="49"/>
      <c r="V574" s="49"/>
      <c r="W574" s="49"/>
      <c r="X574" s="49"/>
      <c r="Y574" s="49"/>
      <c r="Z574" s="49"/>
    </row>
    <row r="575" spans="1:26" ht="15.5">
      <c r="A575" s="1"/>
      <c r="B575" s="1"/>
      <c r="C575" s="1"/>
      <c r="D575" s="1"/>
      <c r="E575" s="1"/>
      <c r="F575" s="1"/>
      <c r="G575" s="1"/>
      <c r="H575" s="49"/>
      <c r="I575" s="49"/>
      <c r="J575" s="49"/>
      <c r="K575" s="49"/>
      <c r="L575" s="49"/>
      <c r="M575" s="49"/>
      <c r="N575" s="49"/>
      <c r="O575" s="49"/>
      <c r="P575" s="49"/>
      <c r="Q575" s="49"/>
      <c r="R575" s="49"/>
      <c r="S575" s="49"/>
      <c r="T575" s="49"/>
      <c r="U575" s="49"/>
      <c r="V575" s="49"/>
      <c r="W575" s="49"/>
      <c r="X575" s="49"/>
      <c r="Y575" s="49"/>
      <c r="Z575" s="49"/>
    </row>
    <row r="576" spans="1:26" ht="15.5">
      <c r="A576" s="1"/>
      <c r="B576" s="1"/>
      <c r="C576" s="1"/>
      <c r="D576" s="1"/>
      <c r="E576" s="1"/>
      <c r="F576" s="1"/>
      <c r="G576" s="1"/>
      <c r="H576" s="49"/>
      <c r="I576" s="49"/>
      <c r="J576" s="49"/>
      <c r="K576" s="49"/>
      <c r="L576" s="49"/>
      <c r="M576" s="49"/>
      <c r="N576" s="49"/>
      <c r="O576" s="49"/>
      <c r="P576" s="49"/>
      <c r="Q576" s="49"/>
      <c r="R576" s="49"/>
      <c r="S576" s="49"/>
      <c r="T576" s="49"/>
      <c r="U576" s="49"/>
      <c r="V576" s="49"/>
      <c r="W576" s="49"/>
      <c r="X576" s="49"/>
      <c r="Y576" s="49"/>
      <c r="Z576" s="49"/>
    </row>
    <row r="577" spans="1:26" ht="15.5">
      <c r="A577" s="1"/>
      <c r="B577" s="1"/>
      <c r="C577" s="1"/>
      <c r="D577" s="1"/>
      <c r="E577" s="1"/>
      <c r="F577" s="1"/>
      <c r="G577" s="1"/>
      <c r="H577" s="49"/>
      <c r="I577" s="49"/>
      <c r="J577" s="49"/>
      <c r="K577" s="49"/>
      <c r="L577" s="49"/>
      <c r="M577" s="49"/>
      <c r="N577" s="49"/>
      <c r="O577" s="49"/>
      <c r="P577" s="49"/>
      <c r="Q577" s="49"/>
      <c r="R577" s="49"/>
      <c r="S577" s="49"/>
      <c r="T577" s="49"/>
      <c r="U577" s="49"/>
      <c r="V577" s="49"/>
      <c r="W577" s="49"/>
      <c r="X577" s="49"/>
      <c r="Y577" s="49"/>
      <c r="Z577" s="49"/>
    </row>
    <row r="578" spans="1:26" ht="15.5">
      <c r="A578" s="1"/>
      <c r="B578" s="1"/>
      <c r="C578" s="1"/>
      <c r="D578" s="1"/>
      <c r="E578" s="1"/>
      <c r="F578" s="1"/>
      <c r="G578" s="1"/>
      <c r="H578" s="49"/>
      <c r="I578" s="49"/>
      <c r="J578" s="49"/>
      <c r="K578" s="49"/>
      <c r="L578" s="49"/>
      <c r="M578" s="49"/>
      <c r="N578" s="49"/>
      <c r="O578" s="49"/>
      <c r="P578" s="49"/>
      <c r="Q578" s="49"/>
      <c r="R578" s="49"/>
      <c r="S578" s="49"/>
      <c r="T578" s="49"/>
      <c r="U578" s="49"/>
      <c r="V578" s="49"/>
      <c r="W578" s="49"/>
      <c r="X578" s="49"/>
      <c r="Y578" s="49"/>
      <c r="Z578" s="49"/>
    </row>
    <row r="579" spans="1:26" ht="15.5">
      <c r="A579" s="1"/>
      <c r="B579" s="1"/>
      <c r="C579" s="1"/>
      <c r="D579" s="1"/>
      <c r="E579" s="1"/>
      <c r="F579" s="1"/>
      <c r="G579" s="1"/>
      <c r="H579" s="49"/>
      <c r="I579" s="49"/>
      <c r="J579" s="49"/>
      <c r="K579" s="49"/>
      <c r="L579" s="49"/>
      <c r="M579" s="49"/>
      <c r="N579" s="49"/>
      <c r="O579" s="49"/>
      <c r="P579" s="49"/>
      <c r="Q579" s="49"/>
      <c r="R579" s="49"/>
      <c r="S579" s="49"/>
      <c r="T579" s="49"/>
      <c r="U579" s="49"/>
      <c r="V579" s="49"/>
      <c r="W579" s="49"/>
      <c r="X579" s="49"/>
      <c r="Y579" s="49"/>
      <c r="Z579" s="49"/>
    </row>
    <row r="580" spans="1:26" ht="15.5">
      <c r="A580" s="1"/>
      <c r="B580" s="1"/>
      <c r="C580" s="1"/>
      <c r="D580" s="1"/>
      <c r="E580" s="1"/>
      <c r="F580" s="1"/>
      <c r="G580" s="1"/>
      <c r="H580" s="49"/>
      <c r="I580" s="49"/>
      <c r="J580" s="49"/>
      <c r="K580" s="49"/>
      <c r="L580" s="49"/>
      <c r="M580" s="49"/>
      <c r="N580" s="49"/>
      <c r="O580" s="49"/>
      <c r="P580" s="49"/>
      <c r="Q580" s="49"/>
      <c r="R580" s="49"/>
      <c r="S580" s="49"/>
      <c r="T580" s="49"/>
      <c r="U580" s="49"/>
      <c r="V580" s="49"/>
      <c r="W580" s="49"/>
      <c r="X580" s="49"/>
      <c r="Y580" s="49"/>
      <c r="Z580" s="49"/>
    </row>
    <row r="581" spans="1:26" ht="15.5">
      <c r="A581" s="1"/>
      <c r="B581" s="1"/>
      <c r="C581" s="1"/>
      <c r="D581" s="1"/>
      <c r="E581" s="1"/>
      <c r="F581" s="1"/>
      <c r="G581" s="1"/>
      <c r="H581" s="49"/>
      <c r="I581" s="49"/>
      <c r="J581" s="49"/>
      <c r="K581" s="49"/>
      <c r="L581" s="49"/>
      <c r="M581" s="49"/>
      <c r="N581" s="49"/>
      <c r="O581" s="49"/>
      <c r="P581" s="49"/>
      <c r="Q581" s="49"/>
      <c r="R581" s="49"/>
      <c r="S581" s="49"/>
      <c r="T581" s="49"/>
      <c r="U581" s="49"/>
      <c r="V581" s="49"/>
      <c r="W581" s="49"/>
      <c r="X581" s="49"/>
      <c r="Y581" s="49"/>
      <c r="Z581" s="49"/>
    </row>
    <row r="582" spans="1:26" ht="15.5">
      <c r="A582" s="1"/>
      <c r="B582" s="1"/>
      <c r="C582" s="1"/>
      <c r="D582" s="1"/>
      <c r="E582" s="1"/>
      <c r="F582" s="1"/>
      <c r="G582" s="1"/>
      <c r="H582" s="49"/>
      <c r="I582" s="49"/>
      <c r="J582" s="49"/>
      <c r="K582" s="49"/>
      <c r="L582" s="49"/>
      <c r="M582" s="49"/>
      <c r="N582" s="49"/>
      <c r="O582" s="49"/>
      <c r="P582" s="49"/>
      <c r="Q582" s="49"/>
      <c r="R582" s="49"/>
      <c r="S582" s="49"/>
      <c r="T582" s="49"/>
      <c r="U582" s="49"/>
      <c r="V582" s="49"/>
      <c r="W582" s="49"/>
      <c r="X582" s="49"/>
      <c r="Y582" s="49"/>
      <c r="Z582" s="49"/>
    </row>
    <row r="583" spans="1:26" ht="15.5">
      <c r="A583" s="1"/>
      <c r="B583" s="1"/>
      <c r="C583" s="1"/>
      <c r="D583" s="1"/>
      <c r="E583" s="1"/>
      <c r="F583" s="1"/>
      <c r="G583" s="1"/>
      <c r="H583" s="49"/>
      <c r="I583" s="49"/>
      <c r="J583" s="49"/>
      <c r="K583" s="49"/>
      <c r="L583" s="49"/>
      <c r="M583" s="49"/>
      <c r="N583" s="49"/>
      <c r="O583" s="49"/>
      <c r="P583" s="49"/>
      <c r="Q583" s="49"/>
      <c r="R583" s="49"/>
      <c r="S583" s="49"/>
      <c r="T583" s="49"/>
      <c r="U583" s="49"/>
      <c r="V583" s="49"/>
      <c r="W583" s="49"/>
      <c r="X583" s="49"/>
      <c r="Y583" s="49"/>
      <c r="Z583" s="49"/>
    </row>
    <row r="584" spans="1:26" ht="15.5">
      <c r="A584" s="1"/>
      <c r="B584" s="1"/>
      <c r="C584" s="1"/>
      <c r="D584" s="1"/>
      <c r="E584" s="1"/>
      <c r="F584" s="1"/>
      <c r="G584" s="1"/>
      <c r="H584" s="49"/>
      <c r="I584" s="49"/>
      <c r="J584" s="49"/>
      <c r="K584" s="49"/>
      <c r="L584" s="49"/>
      <c r="M584" s="49"/>
      <c r="N584" s="49"/>
      <c r="O584" s="49"/>
      <c r="P584" s="49"/>
      <c r="Q584" s="49"/>
      <c r="R584" s="49"/>
      <c r="S584" s="49"/>
      <c r="T584" s="49"/>
      <c r="U584" s="49"/>
      <c r="V584" s="49"/>
      <c r="W584" s="49"/>
      <c r="X584" s="49"/>
      <c r="Y584" s="49"/>
      <c r="Z584" s="49"/>
    </row>
    <row r="585" spans="1:26" ht="15.5">
      <c r="A585" s="1"/>
      <c r="B585" s="1"/>
      <c r="C585" s="1"/>
      <c r="D585" s="1"/>
      <c r="E585" s="1"/>
      <c r="F585" s="1"/>
      <c r="G585" s="1"/>
      <c r="H585" s="49"/>
      <c r="I585" s="49"/>
      <c r="J585" s="49"/>
      <c r="K585" s="49"/>
      <c r="L585" s="49"/>
      <c r="M585" s="49"/>
      <c r="N585" s="49"/>
      <c r="O585" s="49"/>
      <c r="P585" s="49"/>
      <c r="Q585" s="49"/>
      <c r="R585" s="49"/>
      <c r="S585" s="49"/>
      <c r="T585" s="49"/>
      <c r="U585" s="49"/>
      <c r="V585" s="49"/>
      <c r="W585" s="49"/>
      <c r="X585" s="49"/>
      <c r="Y585" s="49"/>
      <c r="Z585" s="49"/>
    </row>
    <row r="586" spans="1:26" ht="15.5">
      <c r="A586" s="1"/>
      <c r="B586" s="1"/>
      <c r="C586" s="1"/>
      <c r="D586" s="1"/>
      <c r="E586" s="1"/>
      <c r="F586" s="1"/>
      <c r="G586" s="1"/>
      <c r="H586" s="49"/>
      <c r="I586" s="49"/>
      <c r="J586" s="49"/>
      <c r="K586" s="49"/>
      <c r="L586" s="49"/>
      <c r="M586" s="49"/>
      <c r="N586" s="49"/>
      <c r="O586" s="49"/>
      <c r="P586" s="49"/>
      <c r="Q586" s="49"/>
      <c r="R586" s="49"/>
      <c r="S586" s="49"/>
      <c r="T586" s="49"/>
      <c r="U586" s="49"/>
      <c r="V586" s="49"/>
      <c r="W586" s="49"/>
      <c r="X586" s="49"/>
      <c r="Y586" s="49"/>
      <c r="Z586" s="49"/>
    </row>
    <row r="587" spans="1:26" ht="15.5">
      <c r="A587" s="1"/>
      <c r="B587" s="1"/>
      <c r="C587" s="1"/>
      <c r="D587" s="1"/>
      <c r="E587" s="1"/>
      <c r="F587" s="1"/>
      <c r="G587" s="1"/>
      <c r="H587" s="49"/>
      <c r="I587" s="49"/>
      <c r="J587" s="49"/>
      <c r="K587" s="49"/>
      <c r="L587" s="49"/>
      <c r="M587" s="49"/>
      <c r="N587" s="49"/>
      <c r="O587" s="49"/>
      <c r="P587" s="49"/>
      <c r="Q587" s="49"/>
      <c r="R587" s="49"/>
      <c r="S587" s="49"/>
      <c r="T587" s="49"/>
      <c r="U587" s="49"/>
      <c r="V587" s="49"/>
      <c r="W587" s="49"/>
      <c r="X587" s="49"/>
      <c r="Y587" s="49"/>
      <c r="Z587" s="49"/>
    </row>
    <row r="588" spans="1:26" ht="15.5">
      <c r="A588" s="1"/>
      <c r="B588" s="1"/>
      <c r="C588" s="1"/>
      <c r="D588" s="1"/>
      <c r="E588" s="1"/>
      <c r="F588" s="1"/>
      <c r="G588" s="1"/>
      <c r="H588" s="49"/>
      <c r="I588" s="49"/>
      <c r="J588" s="49"/>
      <c r="K588" s="49"/>
      <c r="L588" s="49"/>
      <c r="M588" s="49"/>
      <c r="N588" s="49"/>
      <c r="O588" s="49"/>
      <c r="P588" s="49"/>
      <c r="Q588" s="49"/>
      <c r="R588" s="49"/>
      <c r="S588" s="49"/>
      <c r="T588" s="49"/>
      <c r="U588" s="49"/>
      <c r="V588" s="49"/>
      <c r="W588" s="49"/>
      <c r="X588" s="49"/>
      <c r="Y588" s="49"/>
      <c r="Z588" s="49"/>
    </row>
    <row r="589" spans="1:26" ht="15.5">
      <c r="A589" s="1"/>
      <c r="B589" s="1"/>
      <c r="C589" s="1"/>
      <c r="D589" s="1"/>
      <c r="E589" s="1"/>
      <c r="F589" s="1"/>
      <c r="G589" s="1"/>
      <c r="H589" s="49"/>
      <c r="I589" s="49"/>
      <c r="J589" s="49"/>
      <c r="K589" s="49"/>
      <c r="L589" s="49"/>
      <c r="M589" s="49"/>
      <c r="N589" s="49"/>
      <c r="O589" s="49"/>
      <c r="P589" s="49"/>
      <c r="Q589" s="49"/>
      <c r="R589" s="49"/>
      <c r="S589" s="49"/>
      <c r="T589" s="49"/>
      <c r="U589" s="49"/>
      <c r="V589" s="49"/>
      <c r="W589" s="49"/>
      <c r="X589" s="49"/>
      <c r="Y589" s="49"/>
      <c r="Z589" s="49"/>
    </row>
    <row r="590" spans="1:26" ht="15.5">
      <c r="A590" s="1"/>
      <c r="B590" s="1"/>
      <c r="C590" s="1"/>
      <c r="D590" s="1"/>
      <c r="E590" s="1"/>
      <c r="F590" s="1"/>
      <c r="G590" s="1"/>
      <c r="H590" s="49"/>
      <c r="I590" s="49"/>
      <c r="J590" s="49"/>
      <c r="K590" s="49"/>
      <c r="L590" s="49"/>
      <c r="M590" s="49"/>
      <c r="N590" s="49"/>
      <c r="O590" s="49"/>
      <c r="P590" s="49"/>
      <c r="Q590" s="49"/>
      <c r="R590" s="49"/>
      <c r="S590" s="49"/>
      <c r="T590" s="49"/>
      <c r="U590" s="49"/>
      <c r="V590" s="49"/>
      <c r="W590" s="49"/>
      <c r="X590" s="49"/>
      <c r="Y590" s="49"/>
      <c r="Z590" s="49"/>
    </row>
    <row r="591" spans="1:26" ht="15.5">
      <c r="A591" s="1"/>
      <c r="B591" s="1"/>
      <c r="C591" s="1"/>
      <c r="D591" s="1"/>
      <c r="E591" s="1"/>
      <c r="F591" s="1"/>
      <c r="G591" s="1"/>
      <c r="H591" s="49"/>
      <c r="I591" s="49"/>
      <c r="J591" s="49"/>
      <c r="K591" s="49"/>
      <c r="L591" s="49"/>
      <c r="M591" s="49"/>
      <c r="N591" s="49"/>
      <c r="O591" s="49"/>
      <c r="P591" s="49"/>
      <c r="Q591" s="49"/>
      <c r="R591" s="49"/>
      <c r="S591" s="49"/>
      <c r="T591" s="49"/>
      <c r="U591" s="49"/>
      <c r="V591" s="49"/>
      <c r="W591" s="49"/>
      <c r="X591" s="49"/>
      <c r="Y591" s="49"/>
      <c r="Z591" s="49"/>
    </row>
    <row r="592" spans="1:26" ht="15.5">
      <c r="A592" s="1"/>
      <c r="B592" s="1"/>
      <c r="C592" s="1"/>
      <c r="D592" s="1"/>
      <c r="E592" s="1"/>
      <c r="F592" s="1"/>
      <c r="G592" s="1"/>
      <c r="H592" s="49"/>
      <c r="I592" s="49"/>
      <c r="J592" s="49"/>
      <c r="K592" s="49"/>
      <c r="L592" s="49"/>
      <c r="M592" s="49"/>
      <c r="N592" s="49"/>
      <c r="O592" s="49"/>
      <c r="P592" s="49"/>
      <c r="Q592" s="49"/>
      <c r="R592" s="49"/>
      <c r="S592" s="49"/>
      <c r="T592" s="49"/>
      <c r="U592" s="49"/>
      <c r="V592" s="49"/>
      <c r="W592" s="49"/>
      <c r="X592" s="49"/>
      <c r="Y592" s="49"/>
      <c r="Z592" s="49"/>
    </row>
    <row r="593" spans="1:26" ht="15.5">
      <c r="A593" s="1"/>
      <c r="B593" s="1"/>
      <c r="C593" s="1"/>
      <c r="D593" s="1"/>
      <c r="E593" s="1"/>
      <c r="F593" s="1"/>
      <c r="G593" s="1"/>
      <c r="H593" s="49"/>
      <c r="I593" s="49"/>
      <c r="J593" s="49"/>
      <c r="K593" s="49"/>
      <c r="L593" s="49"/>
      <c r="M593" s="49"/>
      <c r="N593" s="49"/>
      <c r="O593" s="49"/>
      <c r="P593" s="49"/>
      <c r="Q593" s="49"/>
      <c r="R593" s="49"/>
      <c r="S593" s="49"/>
      <c r="T593" s="49"/>
      <c r="U593" s="49"/>
      <c r="V593" s="49"/>
      <c r="W593" s="49"/>
      <c r="X593" s="49"/>
      <c r="Y593" s="49"/>
      <c r="Z593" s="49"/>
    </row>
    <row r="594" spans="1:26" ht="15.5">
      <c r="A594" s="1"/>
      <c r="B594" s="1"/>
      <c r="C594" s="1"/>
      <c r="D594" s="1"/>
      <c r="E594" s="1"/>
      <c r="F594" s="1"/>
      <c r="G594" s="1"/>
      <c r="H594" s="49"/>
      <c r="I594" s="49"/>
      <c r="J594" s="49"/>
      <c r="K594" s="49"/>
      <c r="L594" s="49"/>
      <c r="M594" s="49"/>
      <c r="N594" s="49"/>
      <c r="O594" s="49"/>
      <c r="P594" s="49"/>
      <c r="Q594" s="49"/>
      <c r="R594" s="49"/>
      <c r="S594" s="49"/>
      <c r="T594" s="49"/>
      <c r="U594" s="49"/>
      <c r="V594" s="49"/>
      <c r="W594" s="49"/>
      <c r="X594" s="49"/>
      <c r="Y594" s="49"/>
      <c r="Z594" s="49"/>
    </row>
    <row r="595" spans="1:26" ht="15.5">
      <c r="A595" s="1"/>
      <c r="B595" s="1"/>
      <c r="C595" s="1"/>
      <c r="D595" s="1"/>
      <c r="E595" s="1"/>
      <c r="F595" s="1"/>
      <c r="G595" s="1"/>
      <c r="H595" s="49"/>
      <c r="I595" s="49"/>
      <c r="J595" s="49"/>
      <c r="K595" s="49"/>
      <c r="L595" s="49"/>
      <c r="M595" s="49"/>
      <c r="N595" s="49"/>
      <c r="O595" s="49"/>
      <c r="P595" s="49"/>
      <c r="Q595" s="49"/>
      <c r="R595" s="49"/>
      <c r="S595" s="49"/>
      <c r="T595" s="49"/>
      <c r="U595" s="49"/>
      <c r="V595" s="49"/>
      <c r="W595" s="49"/>
      <c r="X595" s="49"/>
      <c r="Y595" s="49"/>
      <c r="Z595" s="49"/>
    </row>
    <row r="596" spans="1:26" ht="15.5">
      <c r="A596" s="1"/>
      <c r="B596" s="1"/>
      <c r="C596" s="1"/>
      <c r="D596" s="1"/>
      <c r="E596" s="1"/>
      <c r="F596" s="1"/>
      <c r="G596" s="1"/>
      <c r="H596" s="49"/>
      <c r="I596" s="49"/>
      <c r="J596" s="49"/>
      <c r="K596" s="49"/>
      <c r="L596" s="49"/>
      <c r="M596" s="49"/>
      <c r="N596" s="49"/>
      <c r="O596" s="49"/>
      <c r="P596" s="49"/>
      <c r="Q596" s="49"/>
      <c r="R596" s="49"/>
      <c r="S596" s="49"/>
      <c r="T596" s="49"/>
      <c r="U596" s="49"/>
      <c r="V596" s="49"/>
      <c r="W596" s="49"/>
      <c r="X596" s="49"/>
      <c r="Y596" s="49"/>
      <c r="Z596" s="49"/>
    </row>
    <row r="597" spans="1:26" ht="15.5">
      <c r="A597" s="1"/>
      <c r="B597" s="1"/>
      <c r="C597" s="1"/>
      <c r="D597" s="1"/>
      <c r="E597" s="1"/>
      <c r="F597" s="1"/>
      <c r="G597" s="1"/>
      <c r="H597" s="49"/>
      <c r="I597" s="49"/>
      <c r="J597" s="49"/>
      <c r="K597" s="49"/>
      <c r="L597" s="49"/>
      <c r="M597" s="49"/>
      <c r="N597" s="49"/>
      <c r="O597" s="49"/>
      <c r="P597" s="49"/>
      <c r="Q597" s="49"/>
      <c r="R597" s="49"/>
      <c r="S597" s="49"/>
      <c r="T597" s="49"/>
      <c r="U597" s="49"/>
      <c r="V597" s="49"/>
      <c r="W597" s="49"/>
      <c r="X597" s="49"/>
      <c r="Y597" s="49"/>
      <c r="Z597" s="49"/>
    </row>
    <row r="598" spans="1:26" ht="15.5">
      <c r="A598" s="1"/>
      <c r="B598" s="1"/>
      <c r="C598" s="1"/>
      <c r="D598" s="1"/>
      <c r="E598" s="1"/>
      <c r="F598" s="1"/>
      <c r="G598" s="1"/>
      <c r="H598" s="49"/>
      <c r="I598" s="49"/>
      <c r="J598" s="49"/>
      <c r="K598" s="49"/>
      <c r="L598" s="49"/>
      <c r="M598" s="49"/>
      <c r="N598" s="49"/>
      <c r="O598" s="49"/>
      <c r="P598" s="49"/>
      <c r="Q598" s="49"/>
      <c r="R598" s="49"/>
      <c r="S598" s="49"/>
      <c r="T598" s="49"/>
      <c r="U598" s="49"/>
      <c r="V598" s="49"/>
      <c r="W598" s="49"/>
      <c r="X598" s="49"/>
      <c r="Y598" s="49"/>
      <c r="Z598" s="49"/>
    </row>
    <row r="599" spans="1:26" ht="15.5">
      <c r="A599" s="1"/>
      <c r="B599" s="1"/>
      <c r="C599" s="1"/>
      <c r="D599" s="1"/>
      <c r="E599" s="1"/>
      <c r="F599" s="1"/>
      <c r="G599" s="1"/>
      <c r="H599" s="49"/>
      <c r="I599" s="49"/>
      <c r="J599" s="49"/>
      <c r="K599" s="49"/>
      <c r="L599" s="49"/>
      <c r="M599" s="49"/>
      <c r="N599" s="49"/>
      <c r="O599" s="49"/>
      <c r="P599" s="49"/>
      <c r="Q599" s="49"/>
      <c r="R599" s="49"/>
      <c r="S599" s="49"/>
      <c r="T599" s="49"/>
      <c r="U599" s="49"/>
      <c r="V599" s="49"/>
      <c r="W599" s="49"/>
      <c r="X599" s="49"/>
      <c r="Y599" s="49"/>
      <c r="Z599" s="49"/>
    </row>
    <row r="600" spans="1:26" ht="15.5">
      <c r="A600" s="1"/>
      <c r="B600" s="1"/>
      <c r="C600" s="1"/>
      <c r="D600" s="1"/>
      <c r="E600" s="1"/>
      <c r="F600" s="1"/>
      <c r="G600" s="1"/>
      <c r="H600" s="49"/>
      <c r="I600" s="49"/>
      <c r="J600" s="49"/>
      <c r="K600" s="49"/>
      <c r="L600" s="49"/>
      <c r="M600" s="49"/>
      <c r="N600" s="49"/>
      <c r="O600" s="49"/>
      <c r="P600" s="49"/>
      <c r="Q600" s="49"/>
      <c r="R600" s="49"/>
      <c r="S600" s="49"/>
      <c r="T600" s="49"/>
      <c r="U600" s="49"/>
      <c r="V600" s="49"/>
      <c r="W600" s="49"/>
      <c r="X600" s="49"/>
      <c r="Y600" s="49"/>
      <c r="Z600" s="49"/>
    </row>
    <row r="601" spans="1:26" ht="15.5">
      <c r="A601" s="1"/>
      <c r="B601" s="1"/>
      <c r="C601" s="1"/>
      <c r="D601" s="1"/>
      <c r="E601" s="1"/>
      <c r="F601" s="1"/>
      <c r="G601" s="1"/>
      <c r="H601" s="49"/>
      <c r="I601" s="49"/>
      <c r="J601" s="49"/>
      <c r="K601" s="49"/>
      <c r="L601" s="49"/>
      <c r="M601" s="49"/>
      <c r="N601" s="49"/>
      <c r="O601" s="49"/>
      <c r="P601" s="49"/>
      <c r="Q601" s="49"/>
      <c r="R601" s="49"/>
      <c r="S601" s="49"/>
      <c r="T601" s="49"/>
      <c r="U601" s="49"/>
      <c r="V601" s="49"/>
      <c r="W601" s="49"/>
      <c r="X601" s="49"/>
      <c r="Y601" s="49"/>
      <c r="Z601" s="49"/>
    </row>
    <row r="602" spans="1:26" ht="15.5">
      <c r="A602" s="1"/>
      <c r="B602" s="1"/>
      <c r="C602" s="1"/>
      <c r="D602" s="1"/>
      <c r="E602" s="1"/>
      <c r="F602" s="1"/>
      <c r="G602" s="1"/>
      <c r="H602" s="49"/>
      <c r="I602" s="49"/>
      <c r="J602" s="49"/>
      <c r="K602" s="49"/>
      <c r="L602" s="49"/>
      <c r="M602" s="49"/>
      <c r="N602" s="49"/>
      <c r="O602" s="49"/>
      <c r="P602" s="49"/>
      <c r="Q602" s="49"/>
      <c r="R602" s="49"/>
      <c r="S602" s="49"/>
      <c r="T602" s="49"/>
      <c r="U602" s="49"/>
      <c r="V602" s="49"/>
      <c r="W602" s="49"/>
      <c r="X602" s="49"/>
      <c r="Y602" s="49"/>
      <c r="Z602" s="49"/>
    </row>
    <row r="603" spans="1:26" ht="15.5">
      <c r="A603" s="1"/>
      <c r="B603" s="1"/>
      <c r="C603" s="1"/>
      <c r="D603" s="1"/>
      <c r="E603" s="1"/>
      <c r="F603" s="1"/>
      <c r="G603" s="1"/>
      <c r="H603" s="49"/>
      <c r="I603" s="49"/>
      <c r="J603" s="49"/>
      <c r="K603" s="49"/>
      <c r="L603" s="49"/>
      <c r="M603" s="49"/>
      <c r="N603" s="49"/>
      <c r="O603" s="49"/>
      <c r="P603" s="49"/>
      <c r="Q603" s="49"/>
      <c r="R603" s="49"/>
      <c r="S603" s="49"/>
      <c r="T603" s="49"/>
      <c r="U603" s="49"/>
      <c r="V603" s="49"/>
      <c r="W603" s="49"/>
      <c r="X603" s="49"/>
      <c r="Y603" s="49"/>
      <c r="Z603" s="49"/>
    </row>
    <row r="604" spans="1:26" ht="15.5">
      <c r="A604" s="1"/>
      <c r="B604" s="1"/>
      <c r="C604" s="1"/>
      <c r="D604" s="1"/>
      <c r="E604" s="1"/>
      <c r="F604" s="1"/>
      <c r="G604" s="1"/>
      <c r="H604" s="49"/>
      <c r="I604" s="49"/>
      <c r="J604" s="49"/>
      <c r="K604" s="49"/>
      <c r="L604" s="49"/>
      <c r="M604" s="49"/>
      <c r="N604" s="49"/>
      <c r="O604" s="49"/>
      <c r="P604" s="49"/>
      <c r="Q604" s="49"/>
      <c r="R604" s="49"/>
      <c r="S604" s="49"/>
      <c r="T604" s="49"/>
      <c r="U604" s="49"/>
      <c r="V604" s="49"/>
      <c r="W604" s="49"/>
      <c r="X604" s="49"/>
      <c r="Y604" s="49"/>
      <c r="Z604" s="49"/>
    </row>
    <row r="605" spans="1:26" ht="15.5">
      <c r="A605" s="1"/>
      <c r="B605" s="1"/>
      <c r="C605" s="1"/>
      <c r="D605" s="1"/>
      <c r="E605" s="1"/>
      <c r="F605" s="1"/>
      <c r="G605" s="1"/>
      <c r="H605" s="49"/>
      <c r="I605" s="49"/>
      <c r="J605" s="49"/>
      <c r="K605" s="49"/>
      <c r="L605" s="49"/>
      <c r="M605" s="49"/>
      <c r="N605" s="49"/>
      <c r="O605" s="49"/>
      <c r="P605" s="49"/>
      <c r="Q605" s="49"/>
      <c r="R605" s="49"/>
      <c r="S605" s="49"/>
      <c r="T605" s="49"/>
      <c r="U605" s="49"/>
      <c r="V605" s="49"/>
      <c r="W605" s="49"/>
      <c r="X605" s="49"/>
      <c r="Y605" s="49"/>
      <c r="Z605" s="49"/>
    </row>
    <row r="606" spans="1:26" ht="15.5">
      <c r="A606" s="1"/>
      <c r="B606" s="1"/>
      <c r="C606" s="1"/>
      <c r="D606" s="1"/>
      <c r="E606" s="1"/>
      <c r="F606" s="1"/>
      <c r="G606" s="1"/>
      <c r="H606" s="49"/>
      <c r="I606" s="49"/>
      <c r="J606" s="49"/>
      <c r="K606" s="49"/>
      <c r="L606" s="49"/>
      <c r="M606" s="49"/>
      <c r="N606" s="49"/>
      <c r="O606" s="49"/>
      <c r="P606" s="49"/>
      <c r="Q606" s="49"/>
      <c r="R606" s="49"/>
      <c r="S606" s="49"/>
      <c r="T606" s="49"/>
      <c r="U606" s="49"/>
      <c r="V606" s="49"/>
      <c r="W606" s="49"/>
      <c r="X606" s="49"/>
      <c r="Y606" s="49"/>
      <c r="Z606" s="49"/>
    </row>
    <row r="607" spans="1:26" ht="15.5">
      <c r="A607" s="1"/>
      <c r="B607" s="1"/>
      <c r="C607" s="1"/>
      <c r="D607" s="1"/>
      <c r="E607" s="1"/>
      <c r="F607" s="1"/>
      <c r="G607" s="1"/>
      <c r="H607" s="49"/>
      <c r="I607" s="49"/>
      <c r="J607" s="49"/>
      <c r="K607" s="49"/>
      <c r="L607" s="49"/>
      <c r="M607" s="49"/>
      <c r="N607" s="49"/>
      <c r="O607" s="49"/>
      <c r="P607" s="49"/>
      <c r="Q607" s="49"/>
      <c r="R607" s="49"/>
      <c r="S607" s="49"/>
      <c r="T607" s="49"/>
      <c r="U607" s="49"/>
      <c r="V607" s="49"/>
      <c r="W607" s="49"/>
      <c r="X607" s="49"/>
      <c r="Y607" s="49"/>
      <c r="Z607" s="49"/>
    </row>
    <row r="608" spans="1:26" ht="15.5">
      <c r="A608" s="1"/>
      <c r="B608" s="1"/>
      <c r="C608" s="1"/>
      <c r="D608" s="1"/>
      <c r="E608" s="1"/>
      <c r="F608" s="1"/>
      <c r="G608" s="1"/>
      <c r="H608" s="49"/>
      <c r="I608" s="49"/>
      <c r="J608" s="49"/>
      <c r="K608" s="49"/>
      <c r="L608" s="49"/>
      <c r="M608" s="49"/>
      <c r="N608" s="49"/>
      <c r="O608" s="49"/>
      <c r="P608" s="49"/>
      <c r="Q608" s="49"/>
      <c r="R608" s="49"/>
      <c r="S608" s="49"/>
      <c r="T608" s="49"/>
      <c r="U608" s="49"/>
      <c r="V608" s="49"/>
      <c r="W608" s="49"/>
      <c r="X608" s="49"/>
      <c r="Y608" s="49"/>
      <c r="Z608" s="49"/>
    </row>
    <row r="609" spans="1:26" ht="15.5">
      <c r="A609" s="1"/>
      <c r="B609" s="1"/>
      <c r="C609" s="1"/>
      <c r="D609" s="1"/>
      <c r="E609" s="1"/>
      <c r="F609" s="1"/>
      <c r="G609" s="1"/>
      <c r="H609" s="49"/>
      <c r="I609" s="49"/>
      <c r="J609" s="49"/>
      <c r="K609" s="49"/>
      <c r="L609" s="49"/>
      <c r="M609" s="49"/>
      <c r="N609" s="49"/>
      <c r="O609" s="49"/>
      <c r="P609" s="49"/>
      <c r="Q609" s="49"/>
      <c r="R609" s="49"/>
      <c r="S609" s="49"/>
      <c r="T609" s="49"/>
      <c r="U609" s="49"/>
      <c r="V609" s="49"/>
      <c r="W609" s="49"/>
      <c r="X609" s="49"/>
      <c r="Y609" s="49"/>
      <c r="Z609" s="49"/>
    </row>
    <row r="610" spans="1:26" ht="15.5">
      <c r="A610" s="1"/>
      <c r="B610" s="1"/>
      <c r="C610" s="1"/>
      <c r="D610" s="1"/>
      <c r="E610" s="1"/>
      <c r="F610" s="1"/>
      <c r="G610" s="1"/>
      <c r="H610" s="49"/>
      <c r="I610" s="49"/>
      <c r="J610" s="49"/>
      <c r="K610" s="49"/>
      <c r="L610" s="49"/>
      <c r="M610" s="49"/>
      <c r="N610" s="49"/>
      <c r="O610" s="49"/>
      <c r="P610" s="49"/>
      <c r="Q610" s="49"/>
      <c r="R610" s="49"/>
      <c r="S610" s="49"/>
      <c r="T610" s="49"/>
      <c r="U610" s="49"/>
      <c r="V610" s="49"/>
      <c r="W610" s="49"/>
      <c r="X610" s="49"/>
      <c r="Y610" s="49"/>
      <c r="Z610" s="49"/>
    </row>
    <row r="611" spans="1:26" ht="15.5">
      <c r="A611" s="1"/>
      <c r="B611" s="1"/>
      <c r="C611" s="1"/>
      <c r="D611" s="1"/>
      <c r="E611" s="1"/>
      <c r="F611" s="1"/>
      <c r="G611" s="1"/>
      <c r="H611" s="49"/>
      <c r="I611" s="49"/>
      <c r="J611" s="49"/>
      <c r="K611" s="49"/>
      <c r="L611" s="49"/>
      <c r="M611" s="49"/>
      <c r="N611" s="49"/>
      <c r="O611" s="49"/>
      <c r="P611" s="49"/>
      <c r="Q611" s="49"/>
      <c r="R611" s="49"/>
      <c r="S611" s="49"/>
      <c r="T611" s="49"/>
      <c r="U611" s="49"/>
      <c r="V611" s="49"/>
      <c r="W611" s="49"/>
      <c r="X611" s="49"/>
      <c r="Y611" s="49"/>
      <c r="Z611" s="49"/>
    </row>
    <row r="612" spans="1:26" ht="15.5">
      <c r="A612" s="1"/>
      <c r="B612" s="1"/>
      <c r="C612" s="1"/>
      <c r="D612" s="1"/>
      <c r="E612" s="1"/>
      <c r="F612" s="1"/>
      <c r="G612" s="1"/>
      <c r="H612" s="49"/>
      <c r="I612" s="49"/>
      <c r="J612" s="49"/>
      <c r="K612" s="49"/>
      <c r="L612" s="49"/>
      <c r="M612" s="49"/>
      <c r="N612" s="49"/>
      <c r="O612" s="49"/>
      <c r="P612" s="49"/>
      <c r="Q612" s="49"/>
      <c r="R612" s="49"/>
      <c r="S612" s="49"/>
      <c r="T612" s="49"/>
      <c r="U612" s="49"/>
      <c r="V612" s="49"/>
      <c r="W612" s="49"/>
      <c r="X612" s="49"/>
      <c r="Y612" s="49"/>
      <c r="Z612" s="49"/>
    </row>
    <row r="613" spans="1:26" ht="15.5">
      <c r="A613" s="1"/>
      <c r="B613" s="1"/>
      <c r="C613" s="1"/>
      <c r="D613" s="1"/>
      <c r="E613" s="1"/>
      <c r="F613" s="1"/>
      <c r="G613" s="1"/>
      <c r="H613" s="49"/>
      <c r="I613" s="49"/>
      <c r="J613" s="49"/>
      <c r="K613" s="49"/>
      <c r="L613" s="49"/>
      <c r="M613" s="49"/>
      <c r="N613" s="49"/>
      <c r="O613" s="49"/>
      <c r="P613" s="49"/>
      <c r="Q613" s="49"/>
      <c r="R613" s="49"/>
      <c r="S613" s="49"/>
      <c r="T613" s="49"/>
      <c r="U613" s="49"/>
      <c r="V613" s="49"/>
      <c r="W613" s="49"/>
      <c r="X613" s="49"/>
      <c r="Y613" s="49"/>
      <c r="Z613" s="49"/>
    </row>
    <row r="614" spans="1:26" ht="15.5">
      <c r="A614" s="1"/>
      <c r="B614" s="1"/>
      <c r="C614" s="1"/>
      <c r="D614" s="1"/>
      <c r="E614" s="1"/>
      <c r="F614" s="1"/>
      <c r="G614" s="1"/>
      <c r="H614" s="49"/>
      <c r="I614" s="49"/>
      <c r="J614" s="49"/>
      <c r="K614" s="49"/>
      <c r="L614" s="49"/>
      <c r="M614" s="49"/>
      <c r="N614" s="49"/>
      <c r="O614" s="49"/>
      <c r="P614" s="49"/>
      <c r="Q614" s="49"/>
      <c r="R614" s="49"/>
      <c r="S614" s="49"/>
      <c r="T614" s="49"/>
      <c r="U614" s="49"/>
      <c r="V614" s="49"/>
      <c r="W614" s="49"/>
      <c r="X614" s="49"/>
      <c r="Y614" s="49"/>
      <c r="Z614" s="49"/>
    </row>
    <row r="615" spans="1:26" ht="15.5">
      <c r="A615" s="1"/>
      <c r="B615" s="1"/>
      <c r="C615" s="1"/>
      <c r="D615" s="1"/>
      <c r="E615" s="1"/>
      <c r="F615" s="1"/>
      <c r="G615" s="1"/>
      <c r="H615" s="49"/>
      <c r="I615" s="49"/>
      <c r="J615" s="49"/>
      <c r="K615" s="49"/>
      <c r="L615" s="49"/>
      <c r="M615" s="49"/>
      <c r="N615" s="49"/>
      <c r="O615" s="49"/>
      <c r="P615" s="49"/>
      <c r="Q615" s="49"/>
      <c r="R615" s="49"/>
      <c r="S615" s="49"/>
      <c r="T615" s="49"/>
      <c r="U615" s="49"/>
      <c r="V615" s="49"/>
      <c r="W615" s="49"/>
      <c r="X615" s="49"/>
      <c r="Y615" s="49"/>
      <c r="Z615" s="49"/>
    </row>
    <row r="616" spans="1:26" ht="15.5">
      <c r="A616" s="1"/>
      <c r="B616" s="1"/>
      <c r="C616" s="1"/>
      <c r="D616" s="1"/>
      <c r="E616" s="1"/>
      <c r="F616" s="1"/>
      <c r="G616" s="1"/>
      <c r="H616" s="49"/>
      <c r="I616" s="49"/>
      <c r="J616" s="49"/>
      <c r="K616" s="49"/>
      <c r="L616" s="49"/>
      <c r="M616" s="49"/>
      <c r="N616" s="49"/>
      <c r="O616" s="49"/>
      <c r="P616" s="49"/>
      <c r="Q616" s="49"/>
      <c r="R616" s="49"/>
      <c r="S616" s="49"/>
      <c r="T616" s="49"/>
      <c r="U616" s="49"/>
      <c r="V616" s="49"/>
      <c r="W616" s="49"/>
      <c r="X616" s="49"/>
      <c r="Y616" s="49"/>
      <c r="Z616" s="49"/>
    </row>
    <row r="617" spans="1:26" ht="15.5">
      <c r="A617" s="1"/>
      <c r="B617" s="1"/>
      <c r="C617" s="1"/>
      <c r="D617" s="1"/>
      <c r="E617" s="1"/>
      <c r="F617" s="1"/>
      <c r="G617" s="1"/>
      <c r="H617" s="49"/>
      <c r="I617" s="49"/>
      <c r="J617" s="49"/>
      <c r="K617" s="49"/>
      <c r="L617" s="49"/>
      <c r="M617" s="49"/>
      <c r="N617" s="49"/>
      <c r="O617" s="49"/>
      <c r="P617" s="49"/>
      <c r="Q617" s="49"/>
      <c r="R617" s="49"/>
      <c r="S617" s="49"/>
      <c r="T617" s="49"/>
      <c r="U617" s="49"/>
      <c r="V617" s="49"/>
      <c r="W617" s="49"/>
      <c r="X617" s="49"/>
      <c r="Y617" s="49"/>
      <c r="Z617" s="49"/>
    </row>
    <row r="618" spans="1:26" ht="15.5">
      <c r="A618" s="1"/>
      <c r="B618" s="1"/>
      <c r="C618" s="1"/>
      <c r="D618" s="1"/>
      <c r="E618" s="1"/>
      <c r="F618" s="1"/>
      <c r="G618" s="1"/>
      <c r="H618" s="49"/>
      <c r="I618" s="49"/>
      <c r="J618" s="49"/>
      <c r="K618" s="49"/>
      <c r="L618" s="49"/>
      <c r="M618" s="49"/>
      <c r="N618" s="49"/>
      <c r="O618" s="49"/>
      <c r="P618" s="49"/>
      <c r="Q618" s="49"/>
      <c r="R618" s="49"/>
      <c r="S618" s="49"/>
      <c r="T618" s="49"/>
      <c r="U618" s="49"/>
      <c r="V618" s="49"/>
      <c r="W618" s="49"/>
      <c r="X618" s="49"/>
      <c r="Y618" s="49"/>
      <c r="Z618" s="49"/>
    </row>
    <row r="619" spans="1:26" ht="15.5">
      <c r="A619" s="1"/>
      <c r="B619" s="1"/>
      <c r="C619" s="1"/>
      <c r="D619" s="1"/>
      <c r="E619" s="1"/>
      <c r="F619" s="1"/>
      <c r="G619" s="1"/>
      <c r="H619" s="49"/>
      <c r="I619" s="49"/>
      <c r="J619" s="49"/>
      <c r="K619" s="49"/>
      <c r="L619" s="49"/>
      <c r="M619" s="49"/>
      <c r="N619" s="49"/>
      <c r="O619" s="49"/>
      <c r="P619" s="49"/>
      <c r="Q619" s="49"/>
      <c r="R619" s="49"/>
      <c r="S619" s="49"/>
      <c r="T619" s="49"/>
      <c r="U619" s="49"/>
      <c r="V619" s="49"/>
      <c r="W619" s="49"/>
      <c r="X619" s="49"/>
      <c r="Y619" s="49"/>
      <c r="Z619" s="49"/>
    </row>
    <row r="620" spans="1:26" ht="15.5">
      <c r="A620" s="1"/>
      <c r="B620" s="1"/>
      <c r="C620" s="1"/>
      <c r="D620" s="1"/>
      <c r="E620" s="1"/>
      <c r="F620" s="1"/>
      <c r="G620" s="1"/>
      <c r="H620" s="49"/>
      <c r="I620" s="49"/>
      <c r="J620" s="49"/>
      <c r="K620" s="49"/>
      <c r="L620" s="49"/>
      <c r="M620" s="49"/>
      <c r="N620" s="49"/>
      <c r="O620" s="49"/>
      <c r="P620" s="49"/>
      <c r="Q620" s="49"/>
      <c r="R620" s="49"/>
      <c r="S620" s="49"/>
      <c r="T620" s="49"/>
      <c r="U620" s="49"/>
      <c r="V620" s="49"/>
      <c r="W620" s="49"/>
      <c r="X620" s="49"/>
      <c r="Y620" s="49"/>
      <c r="Z620" s="49"/>
    </row>
    <row r="621" spans="1:26" ht="15.5">
      <c r="A621" s="1"/>
      <c r="B621" s="1"/>
      <c r="C621" s="1"/>
      <c r="D621" s="1"/>
      <c r="E621" s="1"/>
      <c r="F621" s="1"/>
      <c r="G621" s="1"/>
      <c r="H621" s="49"/>
      <c r="I621" s="49"/>
      <c r="J621" s="49"/>
      <c r="K621" s="49"/>
      <c r="L621" s="49"/>
      <c r="M621" s="49"/>
      <c r="N621" s="49"/>
      <c r="O621" s="49"/>
      <c r="P621" s="49"/>
      <c r="Q621" s="49"/>
      <c r="R621" s="49"/>
      <c r="S621" s="49"/>
      <c r="T621" s="49"/>
      <c r="U621" s="49"/>
      <c r="V621" s="49"/>
      <c r="W621" s="49"/>
      <c r="X621" s="49"/>
      <c r="Y621" s="49"/>
      <c r="Z621" s="49"/>
    </row>
    <row r="622" spans="1:26" ht="15.5">
      <c r="A622" s="1"/>
      <c r="B622" s="1"/>
      <c r="C622" s="1"/>
      <c r="D622" s="1"/>
      <c r="E622" s="1"/>
      <c r="F622" s="1"/>
      <c r="G622" s="1"/>
      <c r="H622" s="49"/>
      <c r="I622" s="49"/>
      <c r="J622" s="49"/>
      <c r="K622" s="49"/>
      <c r="L622" s="49"/>
      <c r="M622" s="49"/>
      <c r="N622" s="49"/>
      <c r="O622" s="49"/>
      <c r="P622" s="49"/>
      <c r="Q622" s="49"/>
      <c r="R622" s="49"/>
      <c r="S622" s="49"/>
      <c r="T622" s="49"/>
      <c r="U622" s="49"/>
      <c r="V622" s="49"/>
      <c r="W622" s="49"/>
      <c r="X622" s="49"/>
      <c r="Y622" s="49"/>
      <c r="Z622" s="49"/>
    </row>
    <row r="623" spans="1:26" ht="15.5">
      <c r="A623" s="1"/>
      <c r="B623" s="1"/>
      <c r="C623" s="1"/>
      <c r="D623" s="1"/>
      <c r="E623" s="1"/>
      <c r="F623" s="1"/>
      <c r="G623" s="1"/>
      <c r="H623" s="49"/>
      <c r="I623" s="49"/>
      <c r="J623" s="49"/>
      <c r="K623" s="49"/>
      <c r="L623" s="49"/>
      <c r="M623" s="49"/>
      <c r="N623" s="49"/>
      <c r="O623" s="49"/>
      <c r="P623" s="49"/>
      <c r="Q623" s="49"/>
      <c r="R623" s="49"/>
      <c r="S623" s="49"/>
      <c r="T623" s="49"/>
      <c r="U623" s="49"/>
      <c r="V623" s="49"/>
      <c r="W623" s="49"/>
      <c r="X623" s="49"/>
      <c r="Y623" s="49"/>
      <c r="Z623" s="49"/>
    </row>
    <row r="624" spans="1:26" ht="15.5">
      <c r="A624" s="1"/>
      <c r="B624" s="1"/>
      <c r="C624" s="1"/>
      <c r="D624" s="1"/>
      <c r="E624" s="1"/>
      <c r="F624" s="1"/>
      <c r="G624" s="1"/>
      <c r="H624" s="49"/>
      <c r="I624" s="49"/>
      <c r="J624" s="49"/>
      <c r="K624" s="49"/>
      <c r="L624" s="49"/>
      <c r="M624" s="49"/>
      <c r="N624" s="49"/>
      <c r="O624" s="49"/>
      <c r="P624" s="49"/>
      <c r="Q624" s="49"/>
      <c r="R624" s="49"/>
      <c r="S624" s="49"/>
      <c r="T624" s="49"/>
      <c r="U624" s="49"/>
      <c r="V624" s="49"/>
      <c r="W624" s="49"/>
      <c r="X624" s="49"/>
      <c r="Y624" s="49"/>
      <c r="Z624" s="49"/>
    </row>
    <row r="625" spans="1:26" ht="15.5">
      <c r="A625" s="1"/>
      <c r="B625" s="1"/>
      <c r="C625" s="1"/>
      <c r="D625" s="1"/>
      <c r="E625" s="1"/>
      <c r="F625" s="1"/>
      <c r="G625" s="1"/>
      <c r="H625" s="49"/>
      <c r="I625" s="49"/>
      <c r="J625" s="49"/>
      <c r="K625" s="49"/>
      <c r="L625" s="49"/>
      <c r="M625" s="49"/>
      <c r="N625" s="49"/>
      <c r="O625" s="49"/>
      <c r="P625" s="49"/>
      <c r="Q625" s="49"/>
      <c r="R625" s="49"/>
      <c r="S625" s="49"/>
      <c r="T625" s="49"/>
      <c r="U625" s="49"/>
      <c r="V625" s="49"/>
      <c r="W625" s="49"/>
      <c r="X625" s="49"/>
      <c r="Y625" s="49"/>
      <c r="Z625" s="49"/>
    </row>
    <row r="626" spans="1:26" ht="15.5">
      <c r="A626" s="1"/>
      <c r="B626" s="1"/>
      <c r="C626" s="1"/>
      <c r="D626" s="1"/>
      <c r="E626" s="1"/>
      <c r="F626" s="1"/>
      <c r="G626" s="1"/>
      <c r="H626" s="49"/>
      <c r="I626" s="49"/>
      <c r="J626" s="49"/>
      <c r="K626" s="49"/>
      <c r="L626" s="49"/>
      <c r="M626" s="49"/>
      <c r="N626" s="49"/>
      <c r="O626" s="49"/>
      <c r="P626" s="49"/>
      <c r="Q626" s="49"/>
      <c r="R626" s="49"/>
      <c r="S626" s="49"/>
      <c r="T626" s="49"/>
      <c r="U626" s="49"/>
      <c r="V626" s="49"/>
      <c r="W626" s="49"/>
      <c r="X626" s="49"/>
      <c r="Y626" s="49"/>
      <c r="Z626" s="49"/>
    </row>
    <row r="627" spans="1:26" ht="15.5">
      <c r="A627" s="1"/>
      <c r="B627" s="1"/>
      <c r="C627" s="1"/>
      <c r="D627" s="1"/>
      <c r="E627" s="1"/>
      <c r="F627" s="1"/>
      <c r="G627" s="1"/>
      <c r="H627" s="49"/>
      <c r="I627" s="49"/>
      <c r="J627" s="49"/>
      <c r="K627" s="49"/>
      <c r="L627" s="49"/>
      <c r="M627" s="49"/>
      <c r="N627" s="49"/>
      <c r="O627" s="49"/>
      <c r="P627" s="49"/>
      <c r="Q627" s="49"/>
      <c r="R627" s="49"/>
      <c r="S627" s="49"/>
      <c r="T627" s="49"/>
      <c r="U627" s="49"/>
      <c r="V627" s="49"/>
      <c r="W627" s="49"/>
      <c r="X627" s="49"/>
      <c r="Y627" s="49"/>
      <c r="Z627" s="49"/>
    </row>
    <row r="628" spans="1:26" ht="15.5">
      <c r="A628" s="1"/>
      <c r="B628" s="1"/>
      <c r="C628" s="1"/>
      <c r="D628" s="1"/>
      <c r="E628" s="1"/>
      <c r="F628" s="1"/>
      <c r="G628" s="1"/>
      <c r="H628" s="49"/>
      <c r="I628" s="49"/>
      <c r="J628" s="49"/>
      <c r="K628" s="49"/>
      <c r="L628" s="49"/>
      <c r="M628" s="49"/>
      <c r="N628" s="49"/>
      <c r="O628" s="49"/>
      <c r="P628" s="49"/>
      <c r="Q628" s="49"/>
      <c r="R628" s="49"/>
      <c r="S628" s="49"/>
      <c r="T628" s="49"/>
      <c r="U628" s="49"/>
      <c r="V628" s="49"/>
      <c r="W628" s="49"/>
      <c r="X628" s="49"/>
      <c r="Y628" s="49"/>
      <c r="Z628" s="49"/>
    </row>
    <row r="629" spans="1:26" ht="15.5">
      <c r="A629" s="1"/>
      <c r="B629" s="1"/>
      <c r="C629" s="1"/>
      <c r="D629" s="1"/>
      <c r="E629" s="1"/>
      <c r="F629" s="1"/>
      <c r="G629" s="1"/>
      <c r="H629" s="49"/>
      <c r="I629" s="49"/>
      <c r="J629" s="49"/>
      <c r="K629" s="49"/>
      <c r="L629" s="49"/>
      <c r="M629" s="49"/>
      <c r="N629" s="49"/>
      <c r="O629" s="49"/>
      <c r="P629" s="49"/>
      <c r="Q629" s="49"/>
      <c r="R629" s="49"/>
      <c r="S629" s="49"/>
      <c r="T629" s="49"/>
      <c r="U629" s="49"/>
      <c r="V629" s="49"/>
      <c r="W629" s="49"/>
      <c r="X629" s="49"/>
      <c r="Y629" s="49"/>
      <c r="Z629" s="49"/>
    </row>
    <row r="630" spans="1:26" ht="15.5">
      <c r="A630" s="1"/>
      <c r="B630" s="1"/>
      <c r="C630" s="1"/>
      <c r="D630" s="1"/>
      <c r="E630" s="1"/>
      <c r="F630" s="1"/>
      <c r="G630" s="1"/>
      <c r="H630" s="49"/>
      <c r="I630" s="49"/>
      <c r="J630" s="49"/>
      <c r="K630" s="49"/>
      <c r="L630" s="49"/>
      <c r="M630" s="49"/>
      <c r="N630" s="49"/>
      <c r="O630" s="49"/>
      <c r="P630" s="49"/>
      <c r="Q630" s="49"/>
      <c r="R630" s="49"/>
      <c r="S630" s="49"/>
      <c r="T630" s="49"/>
      <c r="U630" s="49"/>
      <c r="V630" s="49"/>
      <c r="W630" s="49"/>
      <c r="X630" s="49"/>
      <c r="Y630" s="49"/>
      <c r="Z630" s="49"/>
    </row>
    <row r="631" spans="1:26" ht="15.5">
      <c r="A631" s="1"/>
      <c r="B631" s="1"/>
      <c r="C631" s="1"/>
      <c r="D631" s="1"/>
      <c r="E631" s="1"/>
      <c r="F631" s="1"/>
      <c r="G631" s="1"/>
      <c r="H631" s="49"/>
      <c r="I631" s="49"/>
      <c r="J631" s="49"/>
      <c r="K631" s="49"/>
      <c r="L631" s="49"/>
      <c r="M631" s="49"/>
      <c r="N631" s="49"/>
      <c r="O631" s="49"/>
      <c r="P631" s="49"/>
      <c r="Q631" s="49"/>
      <c r="R631" s="49"/>
      <c r="S631" s="49"/>
      <c r="T631" s="49"/>
      <c r="U631" s="49"/>
      <c r="V631" s="49"/>
      <c r="W631" s="49"/>
      <c r="X631" s="49"/>
      <c r="Y631" s="49"/>
      <c r="Z631" s="49"/>
    </row>
    <row r="632" spans="1:26" ht="15.5">
      <c r="A632" s="1"/>
      <c r="B632" s="1"/>
      <c r="C632" s="1"/>
      <c r="D632" s="1"/>
      <c r="E632" s="1"/>
      <c r="F632" s="1"/>
      <c r="G632" s="1"/>
      <c r="H632" s="49"/>
      <c r="I632" s="49"/>
      <c r="J632" s="49"/>
      <c r="K632" s="49"/>
      <c r="L632" s="49"/>
      <c r="M632" s="49"/>
      <c r="N632" s="49"/>
      <c r="O632" s="49"/>
      <c r="P632" s="49"/>
      <c r="Q632" s="49"/>
      <c r="R632" s="49"/>
      <c r="S632" s="49"/>
      <c r="T632" s="49"/>
      <c r="U632" s="49"/>
      <c r="V632" s="49"/>
      <c r="W632" s="49"/>
      <c r="X632" s="49"/>
      <c r="Y632" s="49"/>
      <c r="Z632" s="49"/>
    </row>
    <row r="633" spans="1:26" ht="15.5">
      <c r="A633" s="1"/>
      <c r="B633" s="1"/>
      <c r="C633" s="1"/>
      <c r="D633" s="1"/>
      <c r="E633" s="1"/>
      <c r="F633" s="1"/>
      <c r="G633" s="1"/>
      <c r="H633" s="49"/>
      <c r="I633" s="49"/>
      <c r="J633" s="49"/>
      <c r="K633" s="49"/>
      <c r="L633" s="49"/>
      <c r="M633" s="49"/>
      <c r="N633" s="49"/>
      <c r="O633" s="49"/>
      <c r="P633" s="49"/>
      <c r="Q633" s="49"/>
      <c r="R633" s="49"/>
      <c r="S633" s="49"/>
      <c r="T633" s="49"/>
      <c r="U633" s="49"/>
      <c r="V633" s="49"/>
      <c r="W633" s="49"/>
      <c r="X633" s="49"/>
      <c r="Y633" s="49"/>
      <c r="Z633" s="49"/>
    </row>
    <row r="634" spans="1:26" ht="15.5">
      <c r="A634" s="1"/>
      <c r="B634" s="1"/>
      <c r="C634" s="1"/>
      <c r="D634" s="1"/>
      <c r="E634" s="1"/>
      <c r="F634" s="1"/>
      <c r="G634" s="1"/>
      <c r="H634" s="49"/>
      <c r="I634" s="49"/>
      <c r="J634" s="49"/>
      <c r="K634" s="49"/>
      <c r="L634" s="49"/>
      <c r="M634" s="49"/>
      <c r="N634" s="49"/>
      <c r="O634" s="49"/>
      <c r="P634" s="49"/>
      <c r="Q634" s="49"/>
      <c r="R634" s="49"/>
      <c r="S634" s="49"/>
      <c r="T634" s="49"/>
      <c r="U634" s="49"/>
      <c r="V634" s="49"/>
      <c r="W634" s="49"/>
      <c r="X634" s="49"/>
      <c r="Y634" s="49"/>
      <c r="Z634" s="49"/>
    </row>
    <row r="635" spans="1:26" ht="15.5">
      <c r="A635" s="1"/>
      <c r="B635" s="1"/>
      <c r="C635" s="1"/>
      <c r="D635" s="1"/>
      <c r="E635" s="1"/>
      <c r="F635" s="1"/>
      <c r="G635" s="1"/>
      <c r="H635" s="49"/>
      <c r="I635" s="49"/>
      <c r="J635" s="49"/>
      <c r="K635" s="49"/>
      <c r="L635" s="49"/>
      <c r="M635" s="49"/>
      <c r="N635" s="49"/>
      <c r="O635" s="49"/>
      <c r="P635" s="49"/>
      <c r="Q635" s="49"/>
      <c r="R635" s="49"/>
      <c r="S635" s="49"/>
      <c r="T635" s="49"/>
      <c r="U635" s="49"/>
      <c r="V635" s="49"/>
      <c r="W635" s="49"/>
      <c r="X635" s="49"/>
      <c r="Y635" s="49"/>
      <c r="Z635" s="49"/>
    </row>
    <row r="636" spans="1:26" ht="15.5">
      <c r="A636" s="1"/>
      <c r="B636" s="1"/>
      <c r="C636" s="1"/>
      <c r="D636" s="1"/>
      <c r="E636" s="1"/>
      <c r="F636" s="1"/>
      <c r="G636" s="1"/>
      <c r="H636" s="49"/>
      <c r="I636" s="49"/>
      <c r="J636" s="49"/>
      <c r="K636" s="49"/>
      <c r="L636" s="49"/>
      <c r="M636" s="49"/>
      <c r="N636" s="49"/>
      <c r="O636" s="49"/>
      <c r="P636" s="49"/>
      <c r="Q636" s="49"/>
      <c r="R636" s="49"/>
      <c r="S636" s="49"/>
      <c r="T636" s="49"/>
      <c r="U636" s="49"/>
      <c r="V636" s="49"/>
      <c r="W636" s="49"/>
      <c r="X636" s="49"/>
      <c r="Y636" s="49"/>
      <c r="Z636" s="49"/>
    </row>
    <row r="637" spans="1:26" ht="15.5">
      <c r="A637" s="1"/>
      <c r="B637" s="1"/>
      <c r="C637" s="1"/>
      <c r="D637" s="1"/>
      <c r="E637" s="1"/>
      <c r="F637" s="1"/>
      <c r="G637" s="1"/>
      <c r="H637" s="49"/>
      <c r="I637" s="49"/>
      <c r="J637" s="49"/>
      <c r="K637" s="49"/>
      <c r="L637" s="49"/>
      <c r="M637" s="49"/>
      <c r="N637" s="49"/>
      <c r="O637" s="49"/>
      <c r="P637" s="49"/>
      <c r="Q637" s="49"/>
      <c r="R637" s="49"/>
      <c r="S637" s="49"/>
      <c r="T637" s="49"/>
      <c r="U637" s="49"/>
      <c r="V637" s="49"/>
      <c r="W637" s="49"/>
      <c r="X637" s="49"/>
      <c r="Y637" s="49"/>
      <c r="Z637" s="49"/>
    </row>
    <row r="638" spans="1:26" ht="15.5">
      <c r="A638" s="1"/>
      <c r="B638" s="1"/>
      <c r="C638" s="1"/>
      <c r="D638" s="1"/>
      <c r="E638" s="1"/>
      <c r="F638" s="1"/>
      <c r="G638" s="1"/>
      <c r="H638" s="49"/>
      <c r="I638" s="49"/>
      <c r="J638" s="49"/>
      <c r="K638" s="49"/>
      <c r="L638" s="49"/>
      <c r="M638" s="49"/>
      <c r="N638" s="49"/>
      <c r="O638" s="49"/>
      <c r="P638" s="49"/>
      <c r="Q638" s="49"/>
      <c r="R638" s="49"/>
      <c r="S638" s="49"/>
      <c r="T638" s="49"/>
      <c r="U638" s="49"/>
      <c r="V638" s="49"/>
      <c r="W638" s="49"/>
      <c r="X638" s="49"/>
      <c r="Y638" s="49"/>
      <c r="Z638" s="49"/>
    </row>
    <row r="639" spans="1:26" ht="15.5">
      <c r="A639" s="1"/>
      <c r="B639" s="1"/>
      <c r="C639" s="1"/>
      <c r="D639" s="1"/>
      <c r="E639" s="1"/>
      <c r="F639" s="1"/>
      <c r="G639" s="1"/>
      <c r="H639" s="49"/>
      <c r="I639" s="49"/>
      <c r="J639" s="49"/>
      <c r="K639" s="49"/>
      <c r="L639" s="49"/>
      <c r="M639" s="49"/>
      <c r="N639" s="49"/>
      <c r="O639" s="49"/>
      <c r="P639" s="49"/>
      <c r="Q639" s="49"/>
      <c r="R639" s="49"/>
      <c r="S639" s="49"/>
      <c r="T639" s="49"/>
      <c r="U639" s="49"/>
      <c r="V639" s="49"/>
      <c r="W639" s="49"/>
      <c r="X639" s="49"/>
      <c r="Y639" s="49"/>
      <c r="Z639" s="49"/>
    </row>
    <row r="640" spans="1:26" ht="15.5">
      <c r="A640" s="1"/>
      <c r="B640" s="1"/>
      <c r="C640" s="1"/>
      <c r="D640" s="1"/>
      <c r="E640" s="1"/>
      <c r="F640" s="1"/>
      <c r="G640" s="1"/>
      <c r="H640" s="49"/>
      <c r="I640" s="49"/>
      <c r="J640" s="49"/>
      <c r="K640" s="49"/>
      <c r="L640" s="49"/>
      <c r="M640" s="49"/>
      <c r="N640" s="49"/>
      <c r="O640" s="49"/>
      <c r="P640" s="49"/>
      <c r="Q640" s="49"/>
      <c r="R640" s="49"/>
      <c r="S640" s="49"/>
      <c r="T640" s="49"/>
      <c r="U640" s="49"/>
      <c r="V640" s="49"/>
      <c r="W640" s="49"/>
      <c r="X640" s="49"/>
      <c r="Y640" s="49"/>
      <c r="Z640" s="49"/>
    </row>
    <row r="641" spans="1:26" ht="15.5">
      <c r="A641" s="1"/>
      <c r="B641" s="1"/>
      <c r="C641" s="1"/>
      <c r="D641" s="1"/>
      <c r="E641" s="1"/>
      <c r="F641" s="1"/>
      <c r="G641" s="1"/>
      <c r="H641" s="49"/>
      <c r="I641" s="49"/>
      <c r="J641" s="49"/>
      <c r="K641" s="49"/>
      <c r="L641" s="49"/>
      <c r="M641" s="49"/>
      <c r="N641" s="49"/>
      <c r="O641" s="49"/>
      <c r="P641" s="49"/>
      <c r="Q641" s="49"/>
      <c r="R641" s="49"/>
      <c r="S641" s="49"/>
      <c r="T641" s="49"/>
      <c r="U641" s="49"/>
      <c r="V641" s="49"/>
      <c r="W641" s="49"/>
      <c r="X641" s="49"/>
      <c r="Y641" s="49"/>
      <c r="Z641" s="49"/>
    </row>
    <row r="642" spans="1:26" ht="15.5">
      <c r="A642" s="1"/>
      <c r="B642" s="1"/>
      <c r="C642" s="1"/>
      <c r="D642" s="1"/>
      <c r="E642" s="1"/>
      <c r="F642" s="1"/>
      <c r="G642" s="1"/>
      <c r="H642" s="49"/>
      <c r="I642" s="49"/>
      <c r="J642" s="49"/>
      <c r="K642" s="49"/>
      <c r="L642" s="49"/>
      <c r="M642" s="49"/>
      <c r="N642" s="49"/>
      <c r="O642" s="49"/>
      <c r="P642" s="49"/>
      <c r="Q642" s="49"/>
      <c r="R642" s="49"/>
      <c r="S642" s="49"/>
      <c r="T642" s="49"/>
      <c r="U642" s="49"/>
      <c r="V642" s="49"/>
      <c r="W642" s="49"/>
      <c r="X642" s="49"/>
      <c r="Y642" s="49"/>
      <c r="Z642" s="49"/>
    </row>
    <row r="643" spans="1:26" ht="15.5">
      <c r="A643" s="1"/>
      <c r="B643" s="1"/>
      <c r="C643" s="1"/>
      <c r="D643" s="1"/>
      <c r="E643" s="1"/>
      <c r="F643" s="1"/>
      <c r="G643" s="1"/>
      <c r="H643" s="49"/>
      <c r="I643" s="49"/>
      <c r="J643" s="49"/>
      <c r="K643" s="49"/>
      <c r="L643" s="49"/>
      <c r="M643" s="49"/>
      <c r="N643" s="49"/>
      <c r="O643" s="49"/>
      <c r="P643" s="49"/>
      <c r="Q643" s="49"/>
      <c r="R643" s="49"/>
      <c r="S643" s="49"/>
      <c r="T643" s="49"/>
      <c r="U643" s="49"/>
      <c r="V643" s="49"/>
      <c r="W643" s="49"/>
      <c r="X643" s="49"/>
      <c r="Y643" s="49"/>
      <c r="Z643" s="49"/>
    </row>
    <row r="644" spans="1:26" ht="15.5">
      <c r="A644" s="1"/>
      <c r="B644" s="1"/>
      <c r="C644" s="1"/>
      <c r="D644" s="1"/>
      <c r="E644" s="1"/>
      <c r="F644" s="1"/>
      <c r="G644" s="1"/>
      <c r="H644" s="49"/>
      <c r="I644" s="49"/>
      <c r="J644" s="49"/>
      <c r="K644" s="49"/>
      <c r="L644" s="49"/>
      <c r="M644" s="49"/>
      <c r="N644" s="49"/>
      <c r="O644" s="49"/>
      <c r="P644" s="49"/>
      <c r="Q644" s="49"/>
      <c r="R644" s="49"/>
      <c r="S644" s="49"/>
      <c r="T644" s="49"/>
      <c r="U644" s="49"/>
      <c r="V644" s="49"/>
      <c r="W644" s="49"/>
      <c r="X644" s="49"/>
      <c r="Y644" s="49"/>
      <c r="Z644" s="49"/>
    </row>
    <row r="645" spans="1:26" ht="15.5">
      <c r="A645" s="1"/>
      <c r="B645" s="1"/>
      <c r="C645" s="1"/>
      <c r="D645" s="1"/>
      <c r="E645" s="1"/>
      <c r="F645" s="1"/>
      <c r="G645" s="1"/>
      <c r="H645" s="49"/>
      <c r="I645" s="49"/>
      <c r="J645" s="49"/>
      <c r="K645" s="49"/>
      <c r="L645" s="49"/>
      <c r="M645" s="49"/>
      <c r="N645" s="49"/>
      <c r="O645" s="49"/>
      <c r="P645" s="49"/>
      <c r="Q645" s="49"/>
      <c r="R645" s="49"/>
      <c r="S645" s="49"/>
      <c r="T645" s="49"/>
      <c r="U645" s="49"/>
      <c r="V645" s="49"/>
      <c r="W645" s="49"/>
      <c r="X645" s="49"/>
      <c r="Y645" s="49"/>
      <c r="Z645" s="49"/>
    </row>
    <row r="646" spans="1:26" ht="15.5">
      <c r="A646" s="1"/>
      <c r="B646" s="1"/>
      <c r="C646" s="1"/>
      <c r="D646" s="1"/>
      <c r="E646" s="1"/>
      <c r="F646" s="1"/>
      <c r="G646" s="1"/>
      <c r="H646" s="49"/>
      <c r="I646" s="49"/>
      <c r="J646" s="49"/>
      <c r="K646" s="49"/>
      <c r="L646" s="49"/>
      <c r="M646" s="49"/>
      <c r="N646" s="49"/>
      <c r="O646" s="49"/>
      <c r="P646" s="49"/>
      <c r="Q646" s="49"/>
      <c r="R646" s="49"/>
      <c r="S646" s="49"/>
      <c r="T646" s="49"/>
      <c r="U646" s="49"/>
      <c r="V646" s="49"/>
      <c r="W646" s="49"/>
      <c r="X646" s="49"/>
      <c r="Y646" s="49"/>
      <c r="Z646" s="49"/>
    </row>
    <row r="647" spans="1:26" ht="15.5">
      <c r="A647" s="1"/>
      <c r="B647" s="1"/>
      <c r="C647" s="1"/>
      <c r="D647" s="1"/>
      <c r="E647" s="1"/>
      <c r="F647" s="1"/>
      <c r="G647" s="1"/>
      <c r="H647" s="49"/>
      <c r="I647" s="49"/>
      <c r="J647" s="49"/>
      <c r="K647" s="49"/>
      <c r="L647" s="49"/>
      <c r="M647" s="49"/>
      <c r="N647" s="49"/>
      <c r="O647" s="49"/>
      <c r="P647" s="49"/>
      <c r="Q647" s="49"/>
      <c r="R647" s="49"/>
      <c r="S647" s="49"/>
      <c r="T647" s="49"/>
      <c r="U647" s="49"/>
      <c r="V647" s="49"/>
      <c r="W647" s="49"/>
      <c r="X647" s="49"/>
      <c r="Y647" s="49"/>
      <c r="Z647" s="49"/>
    </row>
    <row r="648" spans="1:26" ht="15.5">
      <c r="A648" s="1"/>
      <c r="B648" s="1"/>
      <c r="C648" s="1"/>
      <c r="D648" s="1"/>
      <c r="E648" s="1"/>
      <c r="F648" s="1"/>
      <c r="G648" s="1"/>
      <c r="H648" s="49"/>
      <c r="I648" s="49"/>
      <c r="J648" s="49"/>
      <c r="K648" s="49"/>
      <c r="L648" s="49"/>
      <c r="M648" s="49"/>
      <c r="N648" s="49"/>
      <c r="O648" s="49"/>
      <c r="P648" s="49"/>
      <c r="Q648" s="49"/>
      <c r="R648" s="49"/>
      <c r="S648" s="49"/>
      <c r="T648" s="49"/>
      <c r="U648" s="49"/>
      <c r="V648" s="49"/>
      <c r="W648" s="49"/>
      <c r="X648" s="49"/>
      <c r="Y648" s="49"/>
      <c r="Z648" s="49"/>
    </row>
    <row r="649" spans="1:26" ht="15.5">
      <c r="A649" s="1"/>
      <c r="B649" s="1"/>
      <c r="C649" s="1"/>
      <c r="D649" s="1"/>
      <c r="E649" s="1"/>
      <c r="F649" s="1"/>
      <c r="G649" s="1"/>
      <c r="H649" s="49"/>
      <c r="I649" s="49"/>
      <c r="J649" s="49"/>
      <c r="K649" s="49"/>
      <c r="L649" s="49"/>
      <c r="M649" s="49"/>
      <c r="N649" s="49"/>
      <c r="O649" s="49"/>
      <c r="P649" s="49"/>
      <c r="Q649" s="49"/>
      <c r="R649" s="49"/>
      <c r="S649" s="49"/>
      <c r="T649" s="49"/>
      <c r="U649" s="49"/>
      <c r="V649" s="49"/>
      <c r="W649" s="49"/>
      <c r="X649" s="49"/>
      <c r="Y649" s="49"/>
      <c r="Z649" s="49"/>
    </row>
    <row r="650" spans="1:26" ht="15.5">
      <c r="A650" s="1"/>
      <c r="B650" s="1"/>
      <c r="C650" s="1"/>
      <c r="D650" s="1"/>
      <c r="E650" s="1"/>
      <c r="F650" s="1"/>
      <c r="G650" s="1"/>
      <c r="H650" s="49"/>
      <c r="I650" s="49"/>
      <c r="J650" s="49"/>
      <c r="K650" s="49"/>
      <c r="L650" s="49"/>
      <c r="M650" s="49"/>
      <c r="N650" s="49"/>
      <c r="O650" s="49"/>
      <c r="P650" s="49"/>
      <c r="Q650" s="49"/>
      <c r="R650" s="49"/>
      <c r="S650" s="49"/>
      <c r="T650" s="49"/>
      <c r="U650" s="49"/>
      <c r="V650" s="49"/>
      <c r="W650" s="49"/>
      <c r="X650" s="49"/>
      <c r="Y650" s="49"/>
      <c r="Z650" s="49"/>
    </row>
    <row r="651" spans="1:26" ht="15.5">
      <c r="A651" s="1"/>
      <c r="B651" s="1"/>
      <c r="C651" s="1"/>
      <c r="D651" s="1"/>
      <c r="E651" s="1"/>
      <c r="F651" s="1"/>
      <c r="G651" s="1"/>
      <c r="H651" s="49"/>
      <c r="I651" s="49"/>
      <c r="J651" s="49"/>
      <c r="K651" s="49"/>
      <c r="L651" s="49"/>
      <c r="M651" s="49"/>
      <c r="N651" s="49"/>
      <c r="O651" s="49"/>
      <c r="P651" s="49"/>
      <c r="Q651" s="49"/>
      <c r="R651" s="49"/>
      <c r="S651" s="49"/>
      <c r="T651" s="49"/>
      <c r="U651" s="49"/>
      <c r="V651" s="49"/>
      <c r="W651" s="49"/>
      <c r="X651" s="49"/>
      <c r="Y651" s="49"/>
      <c r="Z651" s="49"/>
    </row>
    <row r="652" spans="1:26" ht="15.5">
      <c r="A652" s="1"/>
      <c r="B652" s="1"/>
      <c r="C652" s="1"/>
      <c r="D652" s="1"/>
      <c r="E652" s="1"/>
      <c r="F652" s="1"/>
      <c r="G652" s="1"/>
      <c r="H652" s="49"/>
      <c r="I652" s="49"/>
      <c r="J652" s="49"/>
      <c r="K652" s="49"/>
      <c r="L652" s="49"/>
      <c r="M652" s="49"/>
      <c r="N652" s="49"/>
      <c r="O652" s="49"/>
      <c r="P652" s="49"/>
      <c r="Q652" s="49"/>
      <c r="R652" s="49"/>
      <c r="S652" s="49"/>
      <c r="T652" s="49"/>
      <c r="U652" s="49"/>
      <c r="V652" s="49"/>
      <c r="W652" s="49"/>
      <c r="X652" s="49"/>
      <c r="Y652" s="49"/>
      <c r="Z652" s="49"/>
    </row>
    <row r="653" spans="1:26" ht="15.5">
      <c r="A653" s="1"/>
      <c r="B653" s="1"/>
      <c r="C653" s="1"/>
      <c r="D653" s="1"/>
      <c r="E653" s="1"/>
      <c r="F653" s="1"/>
      <c r="G653" s="1"/>
      <c r="H653" s="49"/>
      <c r="I653" s="49"/>
      <c r="J653" s="49"/>
      <c r="K653" s="49"/>
      <c r="L653" s="49"/>
      <c r="M653" s="49"/>
      <c r="N653" s="49"/>
      <c r="O653" s="49"/>
      <c r="P653" s="49"/>
      <c r="Q653" s="49"/>
      <c r="R653" s="49"/>
      <c r="S653" s="49"/>
      <c r="T653" s="49"/>
      <c r="U653" s="49"/>
      <c r="V653" s="49"/>
      <c r="W653" s="49"/>
      <c r="X653" s="49"/>
      <c r="Y653" s="49"/>
      <c r="Z653" s="49"/>
    </row>
    <row r="654" spans="1:26" ht="15.5">
      <c r="A654" s="1"/>
      <c r="B654" s="1"/>
      <c r="C654" s="1"/>
      <c r="D654" s="1"/>
      <c r="E654" s="1"/>
      <c r="F654" s="1"/>
      <c r="G654" s="1"/>
      <c r="H654" s="49"/>
      <c r="I654" s="49"/>
      <c r="J654" s="49"/>
      <c r="K654" s="49"/>
      <c r="L654" s="49"/>
      <c r="M654" s="49"/>
      <c r="N654" s="49"/>
      <c r="O654" s="49"/>
      <c r="P654" s="49"/>
      <c r="Q654" s="49"/>
      <c r="R654" s="49"/>
      <c r="S654" s="49"/>
      <c r="T654" s="49"/>
      <c r="U654" s="49"/>
      <c r="V654" s="49"/>
      <c r="W654" s="49"/>
      <c r="X654" s="49"/>
      <c r="Y654" s="49"/>
      <c r="Z654" s="49"/>
    </row>
    <row r="655" spans="1:26" ht="15.5">
      <c r="A655" s="1"/>
      <c r="B655" s="1"/>
      <c r="C655" s="1"/>
      <c r="D655" s="1"/>
      <c r="E655" s="1"/>
      <c r="F655" s="1"/>
      <c r="G655" s="1"/>
      <c r="H655" s="49"/>
      <c r="I655" s="49"/>
      <c r="J655" s="49"/>
      <c r="K655" s="49"/>
      <c r="L655" s="49"/>
      <c r="M655" s="49"/>
      <c r="N655" s="49"/>
      <c r="O655" s="49"/>
      <c r="P655" s="49"/>
      <c r="Q655" s="49"/>
      <c r="R655" s="49"/>
      <c r="S655" s="49"/>
      <c r="T655" s="49"/>
      <c r="U655" s="49"/>
      <c r="V655" s="49"/>
      <c r="W655" s="49"/>
      <c r="X655" s="49"/>
      <c r="Y655" s="49"/>
      <c r="Z655" s="49"/>
    </row>
    <row r="656" spans="1:26" ht="15.5">
      <c r="A656" s="1"/>
      <c r="B656" s="1"/>
      <c r="C656" s="1"/>
      <c r="D656" s="1"/>
      <c r="E656" s="1"/>
      <c r="F656" s="1"/>
      <c r="G656" s="1"/>
      <c r="H656" s="49"/>
      <c r="I656" s="49"/>
      <c r="J656" s="49"/>
      <c r="K656" s="49"/>
      <c r="L656" s="49"/>
      <c r="M656" s="49"/>
      <c r="N656" s="49"/>
      <c r="O656" s="49"/>
      <c r="P656" s="49"/>
      <c r="Q656" s="49"/>
      <c r="R656" s="49"/>
      <c r="S656" s="49"/>
      <c r="T656" s="49"/>
      <c r="U656" s="49"/>
      <c r="V656" s="49"/>
      <c r="W656" s="49"/>
      <c r="X656" s="49"/>
      <c r="Y656" s="49"/>
      <c r="Z656" s="49"/>
    </row>
    <row r="657" spans="1:26" ht="15.5">
      <c r="A657" s="1"/>
      <c r="B657" s="1"/>
      <c r="C657" s="1"/>
      <c r="D657" s="1"/>
      <c r="E657" s="1"/>
      <c r="F657" s="1"/>
      <c r="G657" s="1"/>
      <c r="H657" s="49"/>
      <c r="I657" s="49"/>
      <c r="J657" s="49"/>
      <c r="K657" s="49"/>
      <c r="L657" s="49"/>
      <c r="M657" s="49"/>
      <c r="N657" s="49"/>
      <c r="O657" s="49"/>
      <c r="P657" s="49"/>
      <c r="Q657" s="49"/>
      <c r="R657" s="49"/>
      <c r="S657" s="49"/>
      <c r="T657" s="49"/>
      <c r="U657" s="49"/>
      <c r="V657" s="49"/>
      <c r="W657" s="49"/>
      <c r="X657" s="49"/>
      <c r="Y657" s="49"/>
      <c r="Z657" s="49"/>
    </row>
    <row r="658" spans="1:26" ht="15.5">
      <c r="A658" s="1"/>
      <c r="B658" s="1"/>
      <c r="C658" s="1"/>
      <c r="D658" s="1"/>
      <c r="E658" s="1"/>
      <c r="F658" s="1"/>
      <c r="G658" s="1"/>
      <c r="H658" s="49"/>
      <c r="I658" s="49"/>
      <c r="J658" s="49"/>
      <c r="K658" s="49"/>
      <c r="L658" s="49"/>
      <c r="M658" s="49"/>
      <c r="N658" s="49"/>
      <c r="O658" s="49"/>
      <c r="P658" s="49"/>
      <c r="Q658" s="49"/>
      <c r="R658" s="49"/>
      <c r="S658" s="49"/>
      <c r="T658" s="49"/>
      <c r="U658" s="49"/>
      <c r="V658" s="49"/>
      <c r="W658" s="49"/>
      <c r="X658" s="49"/>
      <c r="Y658" s="49"/>
      <c r="Z658" s="49"/>
    </row>
    <row r="659" spans="1:26" ht="15.5">
      <c r="A659" s="1"/>
      <c r="B659" s="1"/>
      <c r="C659" s="1"/>
      <c r="D659" s="1"/>
      <c r="E659" s="1"/>
      <c r="F659" s="1"/>
      <c r="G659" s="1"/>
      <c r="H659" s="49"/>
      <c r="I659" s="49"/>
      <c r="J659" s="49"/>
      <c r="K659" s="49"/>
      <c r="L659" s="49"/>
      <c r="M659" s="49"/>
      <c r="N659" s="49"/>
      <c r="O659" s="49"/>
      <c r="P659" s="49"/>
      <c r="Q659" s="49"/>
      <c r="R659" s="49"/>
      <c r="S659" s="49"/>
      <c r="T659" s="49"/>
      <c r="U659" s="49"/>
      <c r="V659" s="49"/>
      <c r="W659" s="49"/>
      <c r="X659" s="49"/>
      <c r="Y659" s="49"/>
      <c r="Z659" s="49"/>
    </row>
    <row r="660" spans="1:26" ht="15.5">
      <c r="A660" s="1"/>
      <c r="B660" s="1"/>
      <c r="C660" s="1"/>
      <c r="D660" s="1"/>
      <c r="E660" s="1"/>
      <c r="F660" s="1"/>
      <c r="G660" s="1"/>
      <c r="H660" s="49"/>
      <c r="I660" s="49"/>
      <c r="J660" s="49"/>
      <c r="K660" s="49"/>
      <c r="L660" s="49"/>
      <c r="M660" s="49"/>
      <c r="N660" s="49"/>
      <c r="O660" s="49"/>
      <c r="P660" s="49"/>
      <c r="Q660" s="49"/>
      <c r="R660" s="49"/>
      <c r="S660" s="49"/>
      <c r="T660" s="49"/>
      <c r="U660" s="49"/>
      <c r="V660" s="49"/>
      <c r="W660" s="49"/>
      <c r="X660" s="49"/>
      <c r="Y660" s="49"/>
      <c r="Z660" s="49"/>
    </row>
    <row r="661" spans="1:26" ht="15.5">
      <c r="A661" s="1"/>
      <c r="B661" s="1"/>
      <c r="C661" s="1"/>
      <c r="D661" s="1"/>
      <c r="E661" s="1"/>
      <c r="F661" s="1"/>
      <c r="G661" s="1"/>
      <c r="H661" s="49"/>
      <c r="I661" s="49"/>
      <c r="J661" s="49"/>
      <c r="K661" s="49"/>
      <c r="L661" s="49"/>
      <c r="M661" s="49"/>
      <c r="N661" s="49"/>
      <c r="O661" s="49"/>
      <c r="P661" s="49"/>
      <c r="Q661" s="49"/>
      <c r="R661" s="49"/>
      <c r="S661" s="49"/>
      <c r="T661" s="49"/>
      <c r="U661" s="49"/>
      <c r="V661" s="49"/>
      <c r="W661" s="49"/>
      <c r="X661" s="49"/>
      <c r="Y661" s="49"/>
      <c r="Z661" s="49"/>
    </row>
    <row r="662" spans="1:26" ht="15.5">
      <c r="A662" s="1"/>
      <c r="B662" s="1"/>
      <c r="C662" s="1"/>
      <c r="D662" s="1"/>
      <c r="E662" s="1"/>
      <c r="F662" s="1"/>
      <c r="G662" s="1"/>
      <c r="H662" s="49"/>
      <c r="I662" s="49"/>
      <c r="J662" s="49"/>
      <c r="K662" s="49"/>
      <c r="L662" s="49"/>
      <c r="M662" s="49"/>
      <c r="N662" s="49"/>
      <c r="O662" s="49"/>
      <c r="P662" s="49"/>
      <c r="Q662" s="49"/>
      <c r="R662" s="49"/>
      <c r="S662" s="49"/>
      <c r="T662" s="49"/>
      <c r="U662" s="49"/>
      <c r="V662" s="49"/>
      <c r="W662" s="49"/>
      <c r="X662" s="49"/>
      <c r="Y662" s="49"/>
      <c r="Z662" s="49"/>
    </row>
    <row r="663" spans="1:26" ht="15.5">
      <c r="A663" s="1"/>
      <c r="B663" s="1"/>
      <c r="C663" s="1"/>
      <c r="D663" s="1"/>
      <c r="E663" s="1"/>
      <c r="F663" s="1"/>
      <c r="G663" s="1"/>
      <c r="H663" s="49"/>
      <c r="I663" s="49"/>
      <c r="J663" s="49"/>
      <c r="K663" s="49"/>
      <c r="L663" s="49"/>
      <c r="M663" s="49"/>
      <c r="N663" s="49"/>
      <c r="O663" s="49"/>
      <c r="P663" s="49"/>
      <c r="Q663" s="49"/>
      <c r="R663" s="49"/>
      <c r="S663" s="49"/>
      <c r="T663" s="49"/>
      <c r="U663" s="49"/>
      <c r="V663" s="49"/>
      <c r="W663" s="49"/>
      <c r="X663" s="49"/>
      <c r="Y663" s="49"/>
      <c r="Z663" s="49"/>
    </row>
    <row r="664" spans="1:26" ht="15.5">
      <c r="A664" s="1"/>
      <c r="B664" s="1"/>
      <c r="C664" s="1"/>
      <c r="D664" s="1"/>
      <c r="E664" s="1"/>
      <c r="F664" s="1"/>
      <c r="G664" s="1"/>
      <c r="H664" s="49"/>
      <c r="I664" s="49"/>
      <c r="J664" s="49"/>
      <c r="K664" s="49"/>
      <c r="L664" s="49"/>
      <c r="M664" s="49"/>
      <c r="N664" s="49"/>
      <c r="O664" s="49"/>
      <c r="P664" s="49"/>
      <c r="Q664" s="49"/>
      <c r="R664" s="49"/>
      <c r="S664" s="49"/>
      <c r="T664" s="49"/>
      <c r="U664" s="49"/>
      <c r="V664" s="49"/>
      <c r="W664" s="49"/>
      <c r="X664" s="49"/>
      <c r="Y664" s="49"/>
      <c r="Z664" s="49"/>
    </row>
    <row r="665" spans="1:26" ht="15.5">
      <c r="A665" s="1"/>
      <c r="B665" s="1"/>
      <c r="C665" s="1"/>
      <c r="D665" s="1"/>
      <c r="E665" s="1"/>
      <c r="F665" s="1"/>
      <c r="G665" s="1"/>
      <c r="H665" s="49"/>
      <c r="I665" s="49"/>
      <c r="J665" s="49"/>
      <c r="K665" s="49"/>
      <c r="L665" s="49"/>
      <c r="M665" s="49"/>
      <c r="N665" s="49"/>
      <c r="O665" s="49"/>
      <c r="P665" s="49"/>
      <c r="Q665" s="49"/>
      <c r="R665" s="49"/>
      <c r="S665" s="49"/>
      <c r="T665" s="49"/>
      <c r="U665" s="49"/>
      <c r="V665" s="49"/>
      <c r="W665" s="49"/>
      <c r="X665" s="49"/>
      <c r="Y665" s="49"/>
      <c r="Z665" s="49"/>
    </row>
    <row r="666" spans="1:26" ht="15.5">
      <c r="A666" s="1"/>
      <c r="B666" s="1"/>
      <c r="C666" s="1"/>
      <c r="D666" s="1"/>
      <c r="E666" s="1"/>
      <c r="F666" s="1"/>
      <c r="G666" s="1"/>
      <c r="H666" s="49"/>
      <c r="I666" s="49"/>
      <c r="J666" s="49"/>
      <c r="K666" s="49"/>
      <c r="L666" s="49"/>
      <c r="M666" s="49"/>
      <c r="N666" s="49"/>
      <c r="O666" s="49"/>
      <c r="P666" s="49"/>
      <c r="Q666" s="49"/>
      <c r="R666" s="49"/>
      <c r="S666" s="49"/>
      <c r="T666" s="49"/>
      <c r="U666" s="49"/>
      <c r="V666" s="49"/>
      <c r="W666" s="49"/>
      <c r="X666" s="49"/>
      <c r="Y666" s="49"/>
      <c r="Z666" s="49"/>
    </row>
    <row r="667" spans="1:26" ht="15.5">
      <c r="A667" s="1"/>
      <c r="B667" s="1"/>
      <c r="C667" s="1"/>
      <c r="D667" s="1"/>
      <c r="E667" s="1"/>
      <c r="F667" s="1"/>
      <c r="G667" s="1"/>
      <c r="H667" s="49"/>
      <c r="I667" s="49"/>
      <c r="J667" s="49"/>
      <c r="K667" s="49"/>
      <c r="L667" s="49"/>
      <c r="M667" s="49"/>
      <c r="N667" s="49"/>
      <c r="O667" s="49"/>
      <c r="P667" s="49"/>
      <c r="Q667" s="49"/>
      <c r="R667" s="49"/>
      <c r="S667" s="49"/>
      <c r="T667" s="49"/>
      <c r="U667" s="49"/>
      <c r="V667" s="49"/>
      <c r="W667" s="49"/>
      <c r="X667" s="49"/>
      <c r="Y667" s="49"/>
      <c r="Z667" s="49"/>
    </row>
    <row r="668" spans="1:26" ht="15.5">
      <c r="A668" s="1"/>
      <c r="B668" s="1"/>
      <c r="C668" s="1"/>
      <c r="D668" s="1"/>
      <c r="E668" s="1"/>
      <c r="F668" s="1"/>
      <c r="G668" s="1"/>
      <c r="H668" s="49"/>
      <c r="I668" s="49"/>
      <c r="J668" s="49"/>
      <c r="K668" s="49"/>
      <c r="L668" s="49"/>
      <c r="M668" s="49"/>
      <c r="N668" s="49"/>
      <c r="O668" s="49"/>
      <c r="P668" s="49"/>
      <c r="Q668" s="49"/>
      <c r="R668" s="49"/>
      <c r="S668" s="49"/>
      <c r="T668" s="49"/>
      <c r="U668" s="49"/>
      <c r="V668" s="49"/>
      <c r="W668" s="49"/>
      <c r="X668" s="49"/>
      <c r="Y668" s="49"/>
      <c r="Z668" s="49"/>
    </row>
    <row r="669" spans="1:26" ht="15.5">
      <c r="A669" s="1"/>
      <c r="B669" s="1"/>
      <c r="C669" s="1"/>
      <c r="D669" s="1"/>
      <c r="E669" s="1"/>
      <c r="F669" s="1"/>
      <c r="G669" s="1"/>
      <c r="H669" s="49"/>
      <c r="I669" s="49"/>
      <c r="J669" s="49"/>
      <c r="K669" s="49"/>
      <c r="L669" s="49"/>
      <c r="M669" s="49"/>
      <c r="N669" s="49"/>
      <c r="O669" s="49"/>
      <c r="P669" s="49"/>
      <c r="Q669" s="49"/>
      <c r="R669" s="49"/>
      <c r="S669" s="49"/>
      <c r="T669" s="49"/>
      <c r="U669" s="49"/>
      <c r="V669" s="49"/>
      <c r="W669" s="49"/>
      <c r="X669" s="49"/>
      <c r="Y669" s="49"/>
      <c r="Z669" s="49"/>
    </row>
    <row r="670" spans="1:26" ht="15.5">
      <c r="A670" s="1"/>
      <c r="B670" s="1"/>
      <c r="C670" s="1"/>
      <c r="D670" s="1"/>
      <c r="E670" s="1"/>
      <c r="F670" s="1"/>
      <c r="G670" s="1"/>
      <c r="H670" s="49"/>
      <c r="I670" s="49"/>
      <c r="J670" s="49"/>
      <c r="K670" s="49"/>
      <c r="L670" s="49"/>
      <c r="M670" s="49"/>
      <c r="N670" s="49"/>
      <c r="O670" s="49"/>
      <c r="P670" s="49"/>
      <c r="Q670" s="49"/>
      <c r="R670" s="49"/>
      <c r="S670" s="49"/>
      <c r="T670" s="49"/>
      <c r="U670" s="49"/>
      <c r="V670" s="49"/>
      <c r="W670" s="49"/>
      <c r="X670" s="49"/>
      <c r="Y670" s="49"/>
      <c r="Z670" s="49"/>
    </row>
    <row r="671" spans="1:26" ht="15.5">
      <c r="A671" s="1"/>
      <c r="B671" s="1"/>
      <c r="C671" s="1"/>
      <c r="D671" s="1"/>
      <c r="E671" s="1"/>
      <c r="F671" s="1"/>
      <c r="G671" s="1"/>
      <c r="H671" s="49"/>
      <c r="I671" s="49"/>
      <c r="J671" s="49"/>
      <c r="K671" s="49"/>
      <c r="L671" s="49"/>
      <c r="M671" s="49"/>
      <c r="N671" s="49"/>
      <c r="O671" s="49"/>
      <c r="P671" s="49"/>
      <c r="Q671" s="49"/>
      <c r="R671" s="49"/>
      <c r="S671" s="49"/>
      <c r="T671" s="49"/>
      <c r="U671" s="49"/>
      <c r="V671" s="49"/>
      <c r="W671" s="49"/>
      <c r="X671" s="49"/>
      <c r="Y671" s="49"/>
      <c r="Z671" s="49"/>
    </row>
    <row r="672" spans="1:26" ht="15.5">
      <c r="A672" s="1"/>
      <c r="B672" s="1"/>
      <c r="C672" s="1"/>
      <c r="D672" s="1"/>
      <c r="E672" s="1"/>
      <c r="F672" s="1"/>
      <c r="G672" s="1"/>
      <c r="H672" s="49"/>
      <c r="I672" s="49"/>
      <c r="J672" s="49"/>
      <c r="K672" s="49"/>
      <c r="L672" s="49"/>
      <c r="M672" s="49"/>
      <c r="N672" s="49"/>
      <c r="O672" s="49"/>
      <c r="P672" s="49"/>
      <c r="Q672" s="49"/>
      <c r="R672" s="49"/>
      <c r="S672" s="49"/>
      <c r="T672" s="49"/>
      <c r="U672" s="49"/>
      <c r="V672" s="49"/>
      <c r="W672" s="49"/>
      <c r="X672" s="49"/>
      <c r="Y672" s="49"/>
      <c r="Z672" s="49"/>
    </row>
    <row r="673" spans="1:26" ht="15.5">
      <c r="A673" s="1"/>
      <c r="B673" s="1"/>
      <c r="C673" s="1"/>
      <c r="D673" s="1"/>
      <c r="E673" s="1"/>
      <c r="F673" s="1"/>
      <c r="G673" s="1"/>
      <c r="H673" s="49"/>
      <c r="I673" s="49"/>
      <c r="J673" s="49"/>
      <c r="K673" s="49"/>
      <c r="L673" s="49"/>
      <c r="M673" s="49"/>
      <c r="N673" s="49"/>
      <c r="O673" s="49"/>
      <c r="P673" s="49"/>
      <c r="Q673" s="49"/>
      <c r="R673" s="49"/>
      <c r="S673" s="49"/>
      <c r="T673" s="49"/>
      <c r="U673" s="49"/>
      <c r="V673" s="49"/>
      <c r="W673" s="49"/>
      <c r="X673" s="49"/>
      <c r="Y673" s="49"/>
      <c r="Z673" s="49"/>
    </row>
    <row r="674" spans="1:26" ht="15.5">
      <c r="A674" s="1"/>
      <c r="B674" s="1"/>
      <c r="C674" s="1"/>
      <c r="D674" s="1"/>
      <c r="E674" s="1"/>
      <c r="F674" s="1"/>
      <c r="G674" s="1"/>
      <c r="H674" s="49"/>
      <c r="I674" s="49"/>
      <c r="J674" s="49"/>
      <c r="K674" s="49"/>
      <c r="L674" s="49"/>
      <c r="M674" s="49"/>
      <c r="N674" s="49"/>
      <c r="O674" s="49"/>
      <c r="P674" s="49"/>
      <c r="Q674" s="49"/>
      <c r="R674" s="49"/>
      <c r="S674" s="49"/>
      <c r="T674" s="49"/>
      <c r="U674" s="49"/>
      <c r="V674" s="49"/>
      <c r="W674" s="49"/>
      <c r="X674" s="49"/>
      <c r="Y674" s="49"/>
      <c r="Z674" s="49"/>
    </row>
    <row r="675" spans="1:26" ht="15.5">
      <c r="A675" s="1"/>
      <c r="B675" s="1"/>
      <c r="C675" s="1"/>
      <c r="D675" s="1"/>
      <c r="E675" s="1"/>
      <c r="F675" s="1"/>
      <c r="G675" s="1"/>
      <c r="H675" s="49"/>
      <c r="I675" s="49"/>
      <c r="J675" s="49"/>
      <c r="K675" s="49"/>
      <c r="L675" s="49"/>
      <c r="M675" s="49"/>
      <c r="N675" s="49"/>
      <c r="O675" s="49"/>
      <c r="P675" s="49"/>
      <c r="Q675" s="49"/>
      <c r="R675" s="49"/>
      <c r="S675" s="49"/>
      <c r="T675" s="49"/>
      <c r="U675" s="49"/>
      <c r="V675" s="49"/>
      <c r="W675" s="49"/>
      <c r="X675" s="49"/>
      <c r="Y675" s="49"/>
      <c r="Z675" s="49"/>
    </row>
    <row r="676" spans="1:26" ht="15.5">
      <c r="A676" s="1"/>
      <c r="B676" s="1"/>
      <c r="C676" s="1"/>
      <c r="D676" s="1"/>
      <c r="E676" s="1"/>
      <c r="F676" s="1"/>
      <c r="G676" s="1"/>
      <c r="H676" s="49"/>
      <c r="I676" s="49"/>
      <c r="J676" s="49"/>
      <c r="K676" s="49"/>
      <c r="L676" s="49"/>
      <c r="M676" s="49"/>
      <c r="N676" s="49"/>
      <c r="O676" s="49"/>
      <c r="P676" s="49"/>
      <c r="Q676" s="49"/>
      <c r="R676" s="49"/>
      <c r="S676" s="49"/>
      <c r="T676" s="49"/>
      <c r="U676" s="49"/>
      <c r="V676" s="49"/>
      <c r="W676" s="49"/>
      <c r="X676" s="49"/>
      <c r="Y676" s="49"/>
      <c r="Z676" s="49"/>
    </row>
    <row r="677" spans="1:26" ht="15.5">
      <c r="A677" s="1"/>
      <c r="B677" s="1"/>
      <c r="C677" s="1"/>
      <c r="D677" s="1"/>
      <c r="E677" s="1"/>
      <c r="F677" s="1"/>
      <c r="G677" s="1"/>
      <c r="H677" s="49"/>
      <c r="I677" s="49"/>
      <c r="J677" s="49"/>
      <c r="K677" s="49"/>
      <c r="L677" s="49"/>
      <c r="M677" s="49"/>
      <c r="N677" s="49"/>
      <c r="O677" s="49"/>
      <c r="P677" s="49"/>
      <c r="Q677" s="49"/>
      <c r="R677" s="49"/>
      <c r="S677" s="49"/>
      <c r="T677" s="49"/>
      <c r="U677" s="49"/>
      <c r="V677" s="49"/>
      <c r="W677" s="49"/>
      <c r="X677" s="49"/>
      <c r="Y677" s="49"/>
      <c r="Z677" s="49"/>
    </row>
    <row r="678" spans="1:26" ht="15.5">
      <c r="A678" s="1"/>
      <c r="B678" s="1"/>
      <c r="C678" s="1"/>
      <c r="D678" s="1"/>
      <c r="E678" s="1"/>
      <c r="F678" s="1"/>
      <c r="G678" s="1"/>
      <c r="H678" s="49"/>
      <c r="I678" s="49"/>
      <c r="J678" s="49"/>
      <c r="K678" s="49"/>
      <c r="L678" s="49"/>
      <c r="M678" s="49"/>
      <c r="N678" s="49"/>
      <c r="O678" s="49"/>
      <c r="P678" s="49"/>
      <c r="Q678" s="49"/>
      <c r="R678" s="49"/>
      <c r="S678" s="49"/>
      <c r="T678" s="49"/>
      <c r="U678" s="49"/>
      <c r="V678" s="49"/>
      <c r="W678" s="49"/>
      <c r="X678" s="49"/>
      <c r="Y678" s="49"/>
      <c r="Z678" s="49"/>
    </row>
    <row r="679" spans="1:26" ht="15.5">
      <c r="A679" s="1"/>
      <c r="B679" s="1"/>
      <c r="C679" s="1"/>
      <c r="D679" s="1"/>
      <c r="E679" s="1"/>
      <c r="F679" s="1"/>
      <c r="G679" s="1"/>
      <c r="H679" s="49"/>
      <c r="I679" s="49"/>
      <c r="J679" s="49"/>
      <c r="K679" s="49"/>
      <c r="L679" s="49"/>
      <c r="M679" s="49"/>
      <c r="N679" s="49"/>
      <c r="O679" s="49"/>
      <c r="P679" s="49"/>
      <c r="Q679" s="49"/>
      <c r="R679" s="49"/>
      <c r="S679" s="49"/>
      <c r="T679" s="49"/>
      <c r="U679" s="49"/>
      <c r="V679" s="49"/>
      <c r="W679" s="49"/>
      <c r="X679" s="49"/>
      <c r="Y679" s="49"/>
      <c r="Z679" s="49"/>
    </row>
    <row r="680" spans="1:26" ht="15.5">
      <c r="A680" s="1"/>
      <c r="B680" s="1"/>
      <c r="C680" s="1"/>
      <c r="D680" s="1"/>
      <c r="E680" s="1"/>
      <c r="F680" s="1"/>
      <c r="G680" s="1"/>
      <c r="H680" s="49"/>
      <c r="I680" s="49"/>
      <c r="J680" s="49"/>
      <c r="K680" s="49"/>
      <c r="L680" s="49"/>
      <c r="M680" s="49"/>
      <c r="N680" s="49"/>
      <c r="O680" s="49"/>
      <c r="P680" s="49"/>
      <c r="Q680" s="49"/>
      <c r="R680" s="49"/>
      <c r="S680" s="49"/>
      <c r="T680" s="49"/>
      <c r="U680" s="49"/>
      <c r="V680" s="49"/>
      <c r="W680" s="49"/>
      <c r="X680" s="49"/>
      <c r="Y680" s="49"/>
      <c r="Z680" s="49"/>
    </row>
    <row r="681" spans="1:26" ht="15.5">
      <c r="A681" s="1"/>
      <c r="B681" s="1"/>
      <c r="C681" s="1"/>
      <c r="D681" s="1"/>
      <c r="E681" s="1"/>
      <c r="F681" s="1"/>
      <c r="G681" s="1"/>
      <c r="H681" s="49"/>
      <c r="I681" s="49"/>
      <c r="J681" s="49"/>
      <c r="K681" s="49"/>
      <c r="L681" s="49"/>
      <c r="M681" s="49"/>
      <c r="N681" s="49"/>
      <c r="O681" s="49"/>
      <c r="P681" s="49"/>
      <c r="Q681" s="49"/>
      <c r="R681" s="49"/>
      <c r="S681" s="49"/>
      <c r="T681" s="49"/>
      <c r="U681" s="49"/>
      <c r="V681" s="49"/>
      <c r="W681" s="49"/>
      <c r="X681" s="49"/>
      <c r="Y681" s="49"/>
      <c r="Z681" s="49"/>
    </row>
    <row r="682" spans="1:26" ht="15.5">
      <c r="A682" s="1"/>
      <c r="B682" s="1"/>
      <c r="C682" s="1"/>
      <c r="D682" s="1"/>
      <c r="E682" s="1"/>
      <c r="F682" s="1"/>
      <c r="G682" s="1"/>
      <c r="H682" s="49"/>
      <c r="I682" s="49"/>
      <c r="J682" s="49"/>
      <c r="K682" s="49"/>
      <c r="L682" s="49"/>
      <c r="M682" s="49"/>
      <c r="N682" s="49"/>
      <c r="O682" s="49"/>
      <c r="P682" s="49"/>
      <c r="Q682" s="49"/>
      <c r="R682" s="49"/>
      <c r="S682" s="49"/>
      <c r="T682" s="49"/>
      <c r="U682" s="49"/>
      <c r="V682" s="49"/>
      <c r="W682" s="49"/>
      <c r="X682" s="49"/>
      <c r="Y682" s="49"/>
      <c r="Z682" s="49"/>
    </row>
    <row r="683" spans="1:26" ht="15.5">
      <c r="A683" s="1"/>
      <c r="B683" s="1"/>
      <c r="C683" s="1"/>
      <c r="D683" s="1"/>
      <c r="E683" s="1"/>
      <c r="F683" s="1"/>
      <c r="G683" s="1"/>
      <c r="H683" s="49"/>
      <c r="I683" s="49"/>
      <c r="J683" s="49"/>
      <c r="K683" s="49"/>
      <c r="L683" s="49"/>
      <c r="M683" s="49"/>
      <c r="N683" s="49"/>
      <c r="O683" s="49"/>
      <c r="P683" s="49"/>
      <c r="Q683" s="49"/>
      <c r="R683" s="49"/>
      <c r="S683" s="49"/>
      <c r="T683" s="49"/>
      <c r="U683" s="49"/>
      <c r="V683" s="49"/>
      <c r="W683" s="49"/>
      <c r="X683" s="49"/>
      <c r="Y683" s="49"/>
      <c r="Z683" s="49"/>
    </row>
    <row r="684" spans="1:26" ht="15.5">
      <c r="A684" s="1"/>
      <c r="B684" s="1"/>
      <c r="C684" s="1"/>
      <c r="D684" s="1"/>
      <c r="E684" s="1"/>
      <c r="F684" s="1"/>
      <c r="G684" s="1"/>
      <c r="H684" s="49"/>
      <c r="I684" s="49"/>
      <c r="J684" s="49"/>
      <c r="K684" s="49"/>
      <c r="L684" s="49"/>
      <c r="M684" s="49"/>
      <c r="N684" s="49"/>
      <c r="O684" s="49"/>
      <c r="P684" s="49"/>
      <c r="Q684" s="49"/>
      <c r="R684" s="49"/>
      <c r="S684" s="49"/>
      <c r="T684" s="49"/>
      <c r="U684" s="49"/>
      <c r="V684" s="49"/>
      <c r="W684" s="49"/>
      <c r="X684" s="49"/>
      <c r="Y684" s="49"/>
      <c r="Z684" s="49"/>
    </row>
    <row r="685" spans="1:26" ht="15.5">
      <c r="A685" s="1"/>
      <c r="B685" s="1"/>
      <c r="C685" s="1"/>
      <c r="D685" s="1"/>
      <c r="E685" s="1"/>
      <c r="F685" s="1"/>
      <c r="G685" s="1"/>
      <c r="H685" s="49"/>
      <c r="I685" s="49"/>
      <c r="J685" s="49"/>
      <c r="K685" s="49"/>
      <c r="L685" s="49"/>
      <c r="M685" s="49"/>
      <c r="N685" s="49"/>
      <c r="O685" s="49"/>
      <c r="P685" s="49"/>
      <c r="Q685" s="49"/>
      <c r="R685" s="49"/>
      <c r="S685" s="49"/>
      <c r="T685" s="49"/>
      <c r="U685" s="49"/>
      <c r="V685" s="49"/>
      <c r="W685" s="49"/>
      <c r="X685" s="49"/>
      <c r="Y685" s="49"/>
      <c r="Z685" s="49"/>
    </row>
    <row r="686" spans="1:26" ht="15.5">
      <c r="A686" s="1"/>
      <c r="B686" s="1"/>
      <c r="C686" s="1"/>
      <c r="D686" s="1"/>
      <c r="E686" s="1"/>
      <c r="F686" s="1"/>
      <c r="G686" s="1"/>
      <c r="H686" s="49"/>
      <c r="I686" s="49"/>
      <c r="J686" s="49"/>
      <c r="K686" s="49"/>
      <c r="L686" s="49"/>
      <c r="M686" s="49"/>
      <c r="N686" s="49"/>
      <c r="O686" s="49"/>
      <c r="P686" s="49"/>
      <c r="Q686" s="49"/>
      <c r="R686" s="49"/>
      <c r="S686" s="49"/>
      <c r="T686" s="49"/>
      <c r="U686" s="49"/>
      <c r="V686" s="49"/>
      <c r="W686" s="49"/>
      <c r="X686" s="49"/>
      <c r="Y686" s="49"/>
      <c r="Z686" s="49"/>
    </row>
    <row r="687" spans="1:26" ht="15.5">
      <c r="A687" s="1"/>
      <c r="B687" s="1"/>
      <c r="C687" s="1"/>
      <c r="D687" s="1"/>
      <c r="E687" s="1"/>
      <c r="F687" s="1"/>
      <c r="G687" s="1"/>
      <c r="H687" s="49"/>
      <c r="I687" s="49"/>
      <c r="J687" s="49"/>
      <c r="K687" s="49"/>
      <c r="L687" s="49"/>
      <c r="M687" s="49"/>
      <c r="N687" s="49"/>
      <c r="O687" s="49"/>
      <c r="P687" s="49"/>
      <c r="Q687" s="49"/>
      <c r="R687" s="49"/>
      <c r="S687" s="49"/>
      <c r="T687" s="49"/>
      <c r="U687" s="49"/>
      <c r="V687" s="49"/>
      <c r="W687" s="49"/>
      <c r="X687" s="49"/>
      <c r="Y687" s="49"/>
      <c r="Z687" s="49"/>
    </row>
    <row r="688" spans="1:26" ht="15.5">
      <c r="A688" s="1"/>
      <c r="B688" s="1"/>
      <c r="C688" s="1"/>
      <c r="D688" s="1"/>
      <c r="E688" s="1"/>
      <c r="F688" s="1"/>
      <c r="G688" s="1"/>
      <c r="H688" s="49"/>
      <c r="I688" s="49"/>
      <c r="J688" s="49"/>
      <c r="K688" s="49"/>
      <c r="L688" s="49"/>
      <c r="M688" s="49"/>
      <c r="N688" s="49"/>
      <c r="O688" s="49"/>
      <c r="P688" s="49"/>
      <c r="Q688" s="49"/>
      <c r="R688" s="49"/>
      <c r="S688" s="49"/>
      <c r="T688" s="49"/>
      <c r="U688" s="49"/>
      <c r="V688" s="49"/>
      <c r="W688" s="49"/>
      <c r="X688" s="49"/>
      <c r="Y688" s="49"/>
      <c r="Z688" s="49"/>
    </row>
    <row r="689" spans="1:26" ht="15.5">
      <c r="A689" s="1"/>
      <c r="B689" s="1"/>
      <c r="C689" s="1"/>
      <c r="D689" s="1"/>
      <c r="E689" s="1"/>
      <c r="F689" s="1"/>
      <c r="G689" s="1"/>
      <c r="H689" s="49"/>
      <c r="I689" s="49"/>
      <c r="J689" s="49"/>
      <c r="K689" s="49"/>
      <c r="L689" s="49"/>
      <c r="M689" s="49"/>
      <c r="N689" s="49"/>
      <c r="O689" s="49"/>
      <c r="P689" s="49"/>
      <c r="Q689" s="49"/>
      <c r="R689" s="49"/>
      <c r="S689" s="49"/>
      <c r="T689" s="49"/>
      <c r="U689" s="49"/>
      <c r="V689" s="49"/>
      <c r="W689" s="49"/>
      <c r="X689" s="49"/>
      <c r="Y689" s="49"/>
      <c r="Z689" s="49"/>
    </row>
    <row r="690" spans="1:26" ht="15.5">
      <c r="A690" s="1"/>
      <c r="B690" s="1"/>
      <c r="C690" s="1"/>
      <c r="D690" s="1"/>
      <c r="E690" s="1"/>
      <c r="F690" s="1"/>
      <c r="G690" s="1"/>
      <c r="H690" s="49"/>
      <c r="I690" s="49"/>
      <c r="J690" s="49"/>
      <c r="K690" s="49"/>
      <c r="L690" s="49"/>
      <c r="M690" s="49"/>
      <c r="N690" s="49"/>
      <c r="O690" s="49"/>
      <c r="P690" s="49"/>
      <c r="Q690" s="49"/>
      <c r="R690" s="49"/>
      <c r="S690" s="49"/>
      <c r="T690" s="49"/>
      <c r="U690" s="49"/>
      <c r="V690" s="49"/>
      <c r="W690" s="49"/>
      <c r="X690" s="49"/>
      <c r="Y690" s="49"/>
      <c r="Z690" s="49"/>
    </row>
    <row r="691" spans="1:26" ht="15.5">
      <c r="A691" s="1"/>
      <c r="B691" s="1"/>
      <c r="C691" s="1"/>
      <c r="D691" s="1"/>
      <c r="E691" s="1"/>
      <c r="F691" s="1"/>
      <c r="G691" s="1"/>
      <c r="H691" s="49"/>
      <c r="I691" s="49"/>
      <c r="J691" s="49"/>
      <c r="K691" s="49"/>
      <c r="L691" s="49"/>
      <c r="M691" s="49"/>
      <c r="N691" s="49"/>
      <c r="O691" s="49"/>
      <c r="P691" s="49"/>
      <c r="Q691" s="49"/>
      <c r="R691" s="49"/>
      <c r="S691" s="49"/>
      <c r="T691" s="49"/>
      <c r="U691" s="49"/>
      <c r="V691" s="49"/>
      <c r="W691" s="49"/>
      <c r="X691" s="49"/>
      <c r="Y691" s="49"/>
      <c r="Z691" s="49"/>
    </row>
    <row r="692" spans="1:26" ht="15.5">
      <c r="A692" s="1"/>
      <c r="B692" s="1"/>
      <c r="C692" s="1"/>
      <c r="D692" s="1"/>
      <c r="E692" s="1"/>
      <c r="F692" s="1"/>
      <c r="G692" s="1"/>
      <c r="H692" s="49"/>
      <c r="I692" s="49"/>
      <c r="J692" s="49"/>
      <c r="K692" s="49"/>
      <c r="L692" s="49"/>
      <c r="M692" s="49"/>
      <c r="N692" s="49"/>
      <c r="O692" s="49"/>
      <c r="P692" s="49"/>
      <c r="Q692" s="49"/>
      <c r="R692" s="49"/>
      <c r="S692" s="49"/>
      <c r="T692" s="49"/>
      <c r="U692" s="49"/>
      <c r="V692" s="49"/>
      <c r="W692" s="49"/>
      <c r="X692" s="49"/>
      <c r="Y692" s="49"/>
      <c r="Z692" s="49"/>
    </row>
    <row r="693" spans="1:26" ht="15.5">
      <c r="A693" s="1"/>
      <c r="B693" s="1"/>
      <c r="C693" s="1"/>
      <c r="D693" s="1"/>
      <c r="E693" s="1"/>
      <c r="F693" s="1"/>
      <c r="G693" s="1"/>
      <c r="H693" s="49"/>
      <c r="I693" s="49"/>
      <c r="J693" s="49"/>
      <c r="K693" s="49"/>
      <c r="L693" s="49"/>
      <c r="M693" s="49"/>
      <c r="N693" s="49"/>
      <c r="O693" s="49"/>
      <c r="P693" s="49"/>
      <c r="Q693" s="49"/>
      <c r="R693" s="49"/>
      <c r="S693" s="49"/>
      <c r="T693" s="49"/>
      <c r="U693" s="49"/>
      <c r="V693" s="49"/>
      <c r="W693" s="49"/>
      <c r="X693" s="49"/>
      <c r="Y693" s="49"/>
      <c r="Z693" s="49"/>
    </row>
    <row r="694" spans="1:26" ht="15.5">
      <c r="A694" s="1"/>
      <c r="B694" s="1"/>
      <c r="C694" s="1"/>
      <c r="D694" s="1"/>
      <c r="E694" s="1"/>
      <c r="F694" s="1"/>
      <c r="G694" s="1"/>
      <c r="H694" s="49"/>
      <c r="I694" s="49"/>
      <c r="J694" s="49"/>
      <c r="K694" s="49"/>
      <c r="L694" s="49"/>
      <c r="M694" s="49"/>
      <c r="N694" s="49"/>
      <c r="O694" s="49"/>
      <c r="P694" s="49"/>
      <c r="Q694" s="49"/>
      <c r="R694" s="49"/>
      <c r="S694" s="49"/>
      <c r="T694" s="49"/>
      <c r="U694" s="49"/>
      <c r="V694" s="49"/>
      <c r="W694" s="49"/>
      <c r="X694" s="49"/>
      <c r="Y694" s="49"/>
      <c r="Z694" s="49"/>
    </row>
    <row r="695" spans="1:26" ht="15.5">
      <c r="A695" s="1"/>
      <c r="B695" s="1"/>
      <c r="C695" s="1"/>
      <c r="D695" s="1"/>
      <c r="E695" s="1"/>
      <c r="F695" s="1"/>
      <c r="G695" s="1"/>
      <c r="H695" s="49"/>
      <c r="I695" s="49"/>
      <c r="J695" s="49"/>
      <c r="K695" s="49"/>
      <c r="L695" s="49"/>
      <c r="M695" s="49"/>
      <c r="N695" s="49"/>
      <c r="O695" s="49"/>
      <c r="P695" s="49"/>
      <c r="Q695" s="49"/>
      <c r="R695" s="49"/>
      <c r="S695" s="49"/>
      <c r="T695" s="49"/>
      <c r="U695" s="49"/>
      <c r="V695" s="49"/>
      <c r="W695" s="49"/>
      <c r="X695" s="49"/>
      <c r="Y695" s="49"/>
      <c r="Z695" s="49"/>
    </row>
    <row r="696" spans="1:26" ht="15.5">
      <c r="A696" s="1"/>
      <c r="B696" s="1"/>
      <c r="C696" s="1"/>
      <c r="D696" s="1"/>
      <c r="E696" s="1"/>
      <c r="F696" s="1"/>
      <c r="G696" s="1"/>
      <c r="H696" s="49"/>
      <c r="I696" s="49"/>
      <c r="J696" s="49"/>
      <c r="K696" s="49"/>
      <c r="L696" s="49"/>
      <c r="M696" s="49"/>
      <c r="N696" s="49"/>
      <c r="O696" s="49"/>
      <c r="P696" s="49"/>
      <c r="Q696" s="49"/>
      <c r="R696" s="49"/>
      <c r="S696" s="49"/>
      <c r="T696" s="49"/>
      <c r="U696" s="49"/>
      <c r="V696" s="49"/>
      <c r="W696" s="49"/>
      <c r="X696" s="49"/>
      <c r="Y696" s="49"/>
      <c r="Z696" s="49"/>
    </row>
    <row r="697" spans="1:26" ht="15.5">
      <c r="A697" s="1"/>
      <c r="B697" s="1"/>
      <c r="C697" s="1"/>
      <c r="D697" s="1"/>
      <c r="E697" s="1"/>
      <c r="F697" s="1"/>
      <c r="G697" s="1"/>
      <c r="H697" s="49"/>
      <c r="I697" s="49"/>
      <c r="J697" s="49"/>
      <c r="K697" s="49"/>
      <c r="L697" s="49"/>
      <c r="M697" s="49"/>
      <c r="N697" s="49"/>
      <c r="O697" s="49"/>
      <c r="P697" s="49"/>
      <c r="Q697" s="49"/>
      <c r="R697" s="49"/>
      <c r="S697" s="49"/>
      <c r="T697" s="49"/>
      <c r="U697" s="49"/>
      <c r="V697" s="49"/>
      <c r="W697" s="49"/>
      <c r="X697" s="49"/>
      <c r="Y697" s="49"/>
      <c r="Z697" s="49"/>
    </row>
    <row r="698" spans="1:26" ht="15.5">
      <c r="A698" s="1"/>
      <c r="B698" s="1"/>
      <c r="C698" s="1"/>
      <c r="D698" s="1"/>
      <c r="E698" s="1"/>
      <c r="F698" s="1"/>
      <c r="G698" s="1"/>
      <c r="H698" s="49"/>
      <c r="I698" s="49"/>
      <c r="J698" s="49"/>
      <c r="K698" s="49"/>
      <c r="L698" s="49"/>
      <c r="M698" s="49"/>
      <c r="N698" s="49"/>
      <c r="O698" s="49"/>
      <c r="P698" s="49"/>
      <c r="Q698" s="49"/>
      <c r="R698" s="49"/>
      <c r="S698" s="49"/>
      <c r="T698" s="49"/>
      <c r="U698" s="49"/>
      <c r="V698" s="49"/>
      <c r="W698" s="49"/>
      <c r="X698" s="49"/>
      <c r="Y698" s="49"/>
      <c r="Z698" s="49"/>
    </row>
    <row r="699" spans="1:26" ht="15.5">
      <c r="A699" s="1"/>
      <c r="B699" s="1"/>
      <c r="C699" s="1"/>
      <c r="D699" s="1"/>
      <c r="E699" s="1"/>
      <c r="F699" s="1"/>
      <c r="G699" s="1"/>
      <c r="H699" s="49"/>
      <c r="I699" s="49"/>
      <c r="J699" s="49"/>
      <c r="K699" s="49"/>
      <c r="L699" s="49"/>
      <c r="M699" s="49"/>
      <c r="N699" s="49"/>
      <c r="O699" s="49"/>
      <c r="P699" s="49"/>
      <c r="Q699" s="49"/>
      <c r="R699" s="49"/>
      <c r="S699" s="49"/>
      <c r="T699" s="49"/>
      <c r="U699" s="49"/>
      <c r="V699" s="49"/>
      <c r="W699" s="49"/>
      <c r="X699" s="49"/>
      <c r="Y699" s="49"/>
      <c r="Z699" s="49"/>
    </row>
    <row r="700" spans="1:26" ht="15.5">
      <c r="A700" s="1"/>
      <c r="B700" s="1"/>
      <c r="C700" s="1"/>
      <c r="D700" s="1"/>
      <c r="E700" s="1"/>
      <c r="F700" s="1"/>
      <c r="G700" s="1"/>
      <c r="H700" s="49"/>
      <c r="I700" s="49"/>
      <c r="J700" s="49"/>
      <c r="K700" s="49"/>
      <c r="L700" s="49"/>
      <c r="M700" s="49"/>
      <c r="N700" s="49"/>
      <c r="O700" s="49"/>
      <c r="P700" s="49"/>
      <c r="Q700" s="49"/>
      <c r="R700" s="49"/>
      <c r="S700" s="49"/>
      <c r="T700" s="49"/>
      <c r="U700" s="49"/>
      <c r="V700" s="49"/>
      <c r="W700" s="49"/>
      <c r="X700" s="49"/>
      <c r="Y700" s="49"/>
      <c r="Z700" s="49"/>
    </row>
    <row r="701" spans="1:26" ht="15.5">
      <c r="A701" s="1"/>
      <c r="B701" s="1"/>
      <c r="C701" s="1"/>
      <c r="D701" s="1"/>
      <c r="E701" s="1"/>
      <c r="F701" s="1"/>
      <c r="G701" s="1"/>
      <c r="H701" s="49"/>
      <c r="I701" s="49"/>
      <c r="J701" s="49"/>
      <c r="K701" s="49"/>
      <c r="L701" s="49"/>
      <c r="M701" s="49"/>
      <c r="N701" s="49"/>
      <c r="O701" s="49"/>
      <c r="P701" s="49"/>
      <c r="Q701" s="49"/>
      <c r="R701" s="49"/>
      <c r="S701" s="49"/>
      <c r="T701" s="49"/>
      <c r="U701" s="49"/>
      <c r="V701" s="49"/>
      <c r="W701" s="49"/>
      <c r="X701" s="49"/>
      <c r="Y701" s="49"/>
      <c r="Z701" s="49"/>
    </row>
    <row r="702" spans="1:26" ht="15.5">
      <c r="A702" s="1"/>
      <c r="B702" s="1"/>
      <c r="C702" s="1"/>
      <c r="D702" s="1"/>
      <c r="E702" s="1"/>
      <c r="F702" s="1"/>
      <c r="G702" s="1"/>
      <c r="H702" s="49"/>
      <c r="I702" s="49"/>
      <c r="J702" s="49"/>
      <c r="K702" s="49"/>
      <c r="L702" s="49"/>
      <c r="M702" s="49"/>
      <c r="N702" s="49"/>
      <c r="O702" s="49"/>
      <c r="P702" s="49"/>
      <c r="Q702" s="49"/>
      <c r="R702" s="49"/>
      <c r="S702" s="49"/>
      <c r="T702" s="49"/>
      <c r="U702" s="49"/>
      <c r="V702" s="49"/>
      <c r="W702" s="49"/>
      <c r="X702" s="49"/>
      <c r="Y702" s="49"/>
      <c r="Z702" s="49"/>
    </row>
    <row r="703" spans="1:26" ht="15.5">
      <c r="A703" s="1"/>
      <c r="B703" s="1"/>
      <c r="C703" s="1"/>
      <c r="D703" s="1"/>
      <c r="E703" s="1"/>
      <c r="F703" s="1"/>
      <c r="G703" s="1"/>
      <c r="H703" s="49"/>
      <c r="I703" s="49"/>
      <c r="J703" s="49"/>
      <c r="K703" s="49"/>
      <c r="L703" s="49"/>
      <c r="M703" s="49"/>
      <c r="N703" s="49"/>
      <c r="O703" s="49"/>
      <c r="P703" s="49"/>
      <c r="Q703" s="49"/>
      <c r="R703" s="49"/>
      <c r="S703" s="49"/>
      <c r="T703" s="49"/>
      <c r="U703" s="49"/>
      <c r="V703" s="49"/>
      <c r="W703" s="49"/>
      <c r="X703" s="49"/>
      <c r="Y703" s="49"/>
      <c r="Z703" s="49"/>
    </row>
    <row r="704" spans="1:26" ht="15.5">
      <c r="A704" s="1"/>
      <c r="B704" s="1"/>
      <c r="C704" s="1"/>
      <c r="D704" s="1"/>
      <c r="E704" s="1"/>
      <c r="F704" s="1"/>
      <c r="G704" s="1"/>
      <c r="H704" s="49"/>
      <c r="I704" s="49"/>
      <c r="J704" s="49"/>
      <c r="K704" s="49"/>
      <c r="L704" s="49"/>
      <c r="M704" s="49"/>
      <c r="N704" s="49"/>
      <c r="O704" s="49"/>
      <c r="P704" s="49"/>
      <c r="Q704" s="49"/>
      <c r="R704" s="49"/>
      <c r="S704" s="49"/>
      <c r="T704" s="49"/>
      <c r="U704" s="49"/>
      <c r="V704" s="49"/>
      <c r="W704" s="49"/>
      <c r="X704" s="49"/>
      <c r="Y704" s="49"/>
      <c r="Z704" s="49"/>
    </row>
    <row r="705" spans="1:26" ht="15.5">
      <c r="A705" s="1"/>
      <c r="B705" s="1"/>
      <c r="C705" s="1"/>
      <c r="D705" s="1"/>
      <c r="E705" s="1"/>
      <c r="F705" s="1"/>
      <c r="G705" s="1"/>
      <c r="H705" s="49"/>
      <c r="I705" s="49"/>
      <c r="J705" s="49"/>
      <c r="K705" s="49"/>
      <c r="L705" s="49"/>
      <c r="M705" s="49"/>
      <c r="N705" s="49"/>
      <c r="O705" s="49"/>
      <c r="P705" s="49"/>
      <c r="Q705" s="49"/>
      <c r="R705" s="49"/>
      <c r="S705" s="49"/>
      <c r="T705" s="49"/>
      <c r="U705" s="49"/>
      <c r="V705" s="49"/>
      <c r="W705" s="49"/>
      <c r="X705" s="49"/>
      <c r="Y705" s="49"/>
      <c r="Z705" s="49"/>
    </row>
    <row r="706" spans="1:26" ht="15.5">
      <c r="A706" s="1"/>
      <c r="B706" s="1"/>
      <c r="C706" s="1"/>
      <c r="D706" s="1"/>
      <c r="E706" s="1"/>
      <c r="F706" s="1"/>
      <c r="G706" s="1"/>
      <c r="H706" s="49"/>
      <c r="I706" s="49"/>
      <c r="J706" s="49"/>
      <c r="K706" s="49"/>
      <c r="L706" s="49"/>
      <c r="M706" s="49"/>
      <c r="N706" s="49"/>
      <c r="O706" s="49"/>
      <c r="P706" s="49"/>
      <c r="Q706" s="49"/>
      <c r="R706" s="49"/>
      <c r="S706" s="49"/>
      <c r="T706" s="49"/>
      <c r="U706" s="49"/>
      <c r="V706" s="49"/>
      <c r="W706" s="49"/>
      <c r="X706" s="49"/>
      <c r="Y706" s="49"/>
      <c r="Z706" s="49"/>
    </row>
    <row r="707" spans="1:26" ht="15.5">
      <c r="A707" s="1"/>
      <c r="B707" s="1"/>
      <c r="C707" s="1"/>
      <c r="D707" s="1"/>
      <c r="E707" s="1"/>
      <c r="F707" s="1"/>
      <c r="G707" s="1"/>
      <c r="H707" s="49"/>
      <c r="I707" s="49"/>
      <c r="J707" s="49"/>
      <c r="K707" s="49"/>
      <c r="L707" s="49"/>
      <c r="M707" s="49"/>
      <c r="N707" s="49"/>
      <c r="O707" s="49"/>
      <c r="P707" s="49"/>
      <c r="Q707" s="49"/>
      <c r="R707" s="49"/>
      <c r="S707" s="49"/>
      <c r="T707" s="49"/>
      <c r="U707" s="49"/>
      <c r="V707" s="49"/>
      <c r="W707" s="49"/>
      <c r="X707" s="49"/>
      <c r="Y707" s="49"/>
      <c r="Z707" s="49"/>
    </row>
    <row r="708" spans="1:26" ht="15.5">
      <c r="A708" s="1"/>
      <c r="B708" s="1"/>
      <c r="C708" s="1"/>
      <c r="D708" s="1"/>
      <c r="E708" s="1"/>
      <c r="F708" s="1"/>
      <c r="G708" s="1"/>
      <c r="H708" s="49"/>
      <c r="I708" s="49"/>
      <c r="J708" s="49"/>
      <c r="K708" s="49"/>
      <c r="L708" s="49"/>
      <c r="M708" s="49"/>
      <c r="N708" s="49"/>
      <c r="O708" s="49"/>
      <c r="P708" s="49"/>
      <c r="Q708" s="49"/>
      <c r="R708" s="49"/>
      <c r="S708" s="49"/>
      <c r="T708" s="49"/>
      <c r="U708" s="49"/>
      <c r="V708" s="49"/>
      <c r="W708" s="49"/>
      <c r="X708" s="49"/>
      <c r="Y708" s="49"/>
      <c r="Z708" s="49"/>
    </row>
    <row r="709" spans="1:26" ht="15.5">
      <c r="A709" s="1"/>
      <c r="B709" s="1"/>
      <c r="C709" s="1"/>
      <c r="D709" s="1"/>
      <c r="E709" s="1"/>
      <c r="F709" s="1"/>
      <c r="G709" s="1"/>
      <c r="H709" s="49"/>
      <c r="I709" s="49"/>
      <c r="J709" s="49"/>
      <c r="K709" s="49"/>
      <c r="L709" s="49"/>
      <c r="M709" s="49"/>
      <c r="N709" s="49"/>
      <c r="O709" s="49"/>
      <c r="P709" s="49"/>
      <c r="Q709" s="49"/>
      <c r="R709" s="49"/>
      <c r="S709" s="49"/>
      <c r="T709" s="49"/>
      <c r="U709" s="49"/>
      <c r="V709" s="49"/>
      <c r="W709" s="49"/>
      <c r="X709" s="49"/>
      <c r="Y709" s="49"/>
      <c r="Z709" s="49"/>
    </row>
    <row r="710" spans="1:26" ht="15.5">
      <c r="A710" s="1"/>
      <c r="B710" s="1"/>
      <c r="C710" s="1"/>
      <c r="D710" s="1"/>
      <c r="E710" s="1"/>
      <c r="F710" s="1"/>
      <c r="G710" s="1"/>
      <c r="H710" s="49"/>
      <c r="I710" s="49"/>
      <c r="J710" s="49"/>
      <c r="K710" s="49"/>
      <c r="L710" s="49"/>
      <c r="M710" s="49"/>
      <c r="N710" s="49"/>
      <c r="O710" s="49"/>
      <c r="P710" s="49"/>
      <c r="Q710" s="49"/>
      <c r="R710" s="49"/>
      <c r="S710" s="49"/>
      <c r="T710" s="49"/>
      <c r="U710" s="49"/>
      <c r="V710" s="49"/>
      <c r="W710" s="49"/>
      <c r="X710" s="49"/>
      <c r="Y710" s="49"/>
      <c r="Z710" s="49"/>
    </row>
    <row r="711" spans="1:26" ht="15.5">
      <c r="A711" s="1"/>
      <c r="B711" s="1"/>
      <c r="C711" s="1"/>
      <c r="D711" s="1"/>
      <c r="E711" s="1"/>
      <c r="F711" s="1"/>
      <c r="G711" s="1"/>
      <c r="H711" s="49"/>
      <c r="I711" s="49"/>
      <c r="J711" s="49"/>
      <c r="K711" s="49"/>
      <c r="L711" s="49"/>
      <c r="M711" s="49"/>
      <c r="N711" s="49"/>
      <c r="O711" s="49"/>
      <c r="P711" s="49"/>
      <c r="Q711" s="49"/>
      <c r="R711" s="49"/>
      <c r="S711" s="49"/>
      <c r="T711" s="49"/>
      <c r="U711" s="49"/>
      <c r="V711" s="49"/>
      <c r="W711" s="49"/>
      <c r="X711" s="49"/>
      <c r="Y711" s="49"/>
      <c r="Z711" s="49"/>
    </row>
    <row r="712" spans="1:26" ht="15.5">
      <c r="A712" s="1"/>
      <c r="B712" s="1"/>
      <c r="C712" s="1"/>
      <c r="D712" s="1"/>
      <c r="E712" s="1"/>
      <c r="F712" s="1"/>
      <c r="G712" s="1"/>
      <c r="H712" s="49"/>
      <c r="I712" s="49"/>
      <c r="J712" s="49"/>
      <c r="K712" s="49"/>
      <c r="L712" s="49"/>
      <c r="M712" s="49"/>
      <c r="N712" s="49"/>
      <c r="O712" s="49"/>
      <c r="P712" s="49"/>
      <c r="Q712" s="49"/>
      <c r="R712" s="49"/>
      <c r="S712" s="49"/>
      <c r="T712" s="49"/>
      <c r="U712" s="49"/>
      <c r="V712" s="49"/>
      <c r="W712" s="49"/>
      <c r="X712" s="49"/>
      <c r="Y712" s="49"/>
      <c r="Z712" s="49"/>
    </row>
    <row r="713" spans="1:26" ht="15.5">
      <c r="A713" s="1"/>
      <c r="B713" s="1"/>
      <c r="C713" s="1"/>
      <c r="D713" s="1"/>
      <c r="E713" s="1"/>
      <c r="F713" s="1"/>
      <c r="G713" s="1"/>
      <c r="H713" s="49"/>
      <c r="I713" s="49"/>
      <c r="J713" s="49"/>
      <c r="K713" s="49"/>
      <c r="L713" s="49"/>
      <c r="M713" s="49"/>
      <c r="N713" s="49"/>
      <c r="O713" s="49"/>
      <c r="P713" s="49"/>
      <c r="Q713" s="49"/>
      <c r="R713" s="49"/>
      <c r="S713" s="49"/>
      <c r="T713" s="49"/>
      <c r="U713" s="49"/>
      <c r="V713" s="49"/>
      <c r="W713" s="49"/>
      <c r="X713" s="49"/>
      <c r="Y713" s="49"/>
      <c r="Z713" s="49"/>
    </row>
    <row r="714" spans="1:26" ht="15.5">
      <c r="A714" s="1"/>
      <c r="B714" s="1"/>
      <c r="C714" s="1"/>
      <c r="D714" s="1"/>
      <c r="E714" s="1"/>
      <c r="F714" s="1"/>
      <c r="G714" s="1"/>
      <c r="H714" s="49"/>
      <c r="I714" s="49"/>
      <c r="J714" s="49"/>
      <c r="K714" s="49"/>
      <c r="L714" s="49"/>
      <c r="M714" s="49"/>
      <c r="N714" s="49"/>
      <c r="O714" s="49"/>
      <c r="P714" s="49"/>
      <c r="Q714" s="49"/>
      <c r="R714" s="49"/>
      <c r="S714" s="49"/>
      <c r="T714" s="49"/>
      <c r="U714" s="49"/>
      <c r="V714" s="49"/>
      <c r="W714" s="49"/>
      <c r="X714" s="49"/>
      <c r="Y714" s="49"/>
      <c r="Z714" s="49"/>
    </row>
    <row r="715" spans="1:26" ht="15.5">
      <c r="A715" s="1"/>
      <c r="B715" s="1"/>
      <c r="C715" s="1"/>
      <c r="D715" s="1"/>
      <c r="E715" s="1"/>
      <c r="F715" s="1"/>
      <c r="G715" s="1"/>
      <c r="H715" s="49"/>
      <c r="I715" s="49"/>
      <c r="J715" s="49"/>
      <c r="K715" s="49"/>
      <c r="L715" s="49"/>
      <c r="M715" s="49"/>
      <c r="N715" s="49"/>
      <c r="O715" s="49"/>
      <c r="P715" s="49"/>
      <c r="Q715" s="49"/>
      <c r="R715" s="49"/>
      <c r="S715" s="49"/>
      <c r="T715" s="49"/>
      <c r="U715" s="49"/>
      <c r="V715" s="49"/>
      <c r="W715" s="49"/>
      <c r="X715" s="49"/>
      <c r="Y715" s="49"/>
      <c r="Z715" s="49"/>
    </row>
    <row r="716" spans="1:26" ht="15.5">
      <c r="A716" s="1"/>
      <c r="B716" s="1"/>
      <c r="C716" s="1"/>
      <c r="D716" s="1"/>
      <c r="E716" s="1"/>
      <c r="F716" s="1"/>
      <c r="G716" s="1"/>
      <c r="H716" s="49"/>
      <c r="I716" s="49"/>
      <c r="J716" s="49"/>
      <c r="K716" s="49"/>
      <c r="L716" s="49"/>
      <c r="M716" s="49"/>
      <c r="N716" s="49"/>
      <c r="O716" s="49"/>
      <c r="P716" s="49"/>
      <c r="Q716" s="49"/>
      <c r="R716" s="49"/>
      <c r="S716" s="49"/>
      <c r="T716" s="49"/>
      <c r="U716" s="49"/>
      <c r="V716" s="49"/>
      <c r="W716" s="49"/>
      <c r="X716" s="49"/>
      <c r="Y716" s="49"/>
      <c r="Z716" s="49"/>
    </row>
    <row r="717" spans="1:26" ht="15.5">
      <c r="A717" s="1"/>
      <c r="B717" s="1"/>
      <c r="C717" s="1"/>
      <c r="D717" s="1"/>
      <c r="E717" s="1"/>
      <c r="F717" s="1"/>
      <c r="G717" s="1"/>
      <c r="H717" s="49"/>
      <c r="I717" s="49"/>
      <c r="J717" s="49"/>
      <c r="K717" s="49"/>
      <c r="L717" s="49"/>
      <c r="M717" s="49"/>
      <c r="N717" s="49"/>
      <c r="O717" s="49"/>
      <c r="P717" s="49"/>
      <c r="Q717" s="49"/>
      <c r="R717" s="49"/>
      <c r="S717" s="49"/>
      <c r="T717" s="49"/>
      <c r="U717" s="49"/>
      <c r="V717" s="49"/>
      <c r="W717" s="49"/>
      <c r="X717" s="49"/>
      <c r="Y717" s="49"/>
      <c r="Z717" s="49"/>
    </row>
    <row r="718" spans="1:26" ht="15.5">
      <c r="A718" s="1"/>
      <c r="B718" s="1"/>
      <c r="C718" s="1"/>
      <c r="D718" s="1"/>
      <c r="E718" s="1"/>
      <c r="F718" s="1"/>
      <c r="G718" s="1"/>
      <c r="H718" s="49"/>
      <c r="I718" s="49"/>
      <c r="J718" s="49"/>
      <c r="K718" s="49"/>
      <c r="L718" s="49"/>
      <c r="M718" s="49"/>
      <c r="N718" s="49"/>
      <c r="O718" s="49"/>
      <c r="P718" s="49"/>
      <c r="Q718" s="49"/>
      <c r="R718" s="49"/>
      <c r="S718" s="49"/>
      <c r="T718" s="49"/>
      <c r="U718" s="49"/>
      <c r="V718" s="49"/>
      <c r="W718" s="49"/>
      <c r="X718" s="49"/>
      <c r="Y718" s="49"/>
      <c r="Z718" s="49"/>
    </row>
    <row r="719" spans="1:26" ht="15.5">
      <c r="A719" s="1"/>
      <c r="B719" s="1"/>
      <c r="C719" s="1"/>
      <c r="D719" s="1"/>
      <c r="E719" s="1"/>
      <c r="F719" s="1"/>
      <c r="G719" s="1"/>
      <c r="H719" s="49"/>
      <c r="I719" s="49"/>
      <c r="J719" s="49"/>
      <c r="K719" s="49"/>
      <c r="L719" s="49"/>
      <c r="M719" s="49"/>
      <c r="N719" s="49"/>
      <c r="O719" s="49"/>
      <c r="P719" s="49"/>
      <c r="Q719" s="49"/>
      <c r="R719" s="49"/>
      <c r="S719" s="49"/>
      <c r="T719" s="49"/>
      <c r="U719" s="49"/>
      <c r="V719" s="49"/>
      <c r="W719" s="49"/>
      <c r="X719" s="49"/>
      <c r="Y719" s="49"/>
      <c r="Z719" s="49"/>
    </row>
    <row r="720" spans="1:26" ht="15.5">
      <c r="A720" s="1"/>
      <c r="B720" s="1"/>
      <c r="C720" s="1"/>
      <c r="D720" s="1"/>
      <c r="E720" s="1"/>
      <c r="F720" s="1"/>
      <c r="G720" s="1"/>
      <c r="H720" s="49"/>
      <c r="I720" s="49"/>
      <c r="J720" s="49"/>
      <c r="K720" s="49"/>
      <c r="L720" s="49"/>
      <c r="M720" s="49"/>
      <c r="N720" s="49"/>
      <c r="O720" s="49"/>
      <c r="P720" s="49"/>
      <c r="Q720" s="49"/>
      <c r="R720" s="49"/>
      <c r="S720" s="49"/>
      <c r="T720" s="49"/>
      <c r="U720" s="49"/>
      <c r="V720" s="49"/>
      <c r="W720" s="49"/>
      <c r="X720" s="49"/>
      <c r="Y720" s="49"/>
      <c r="Z720" s="49"/>
    </row>
    <row r="721" spans="1:26" ht="15.5">
      <c r="A721" s="1"/>
      <c r="B721" s="1"/>
      <c r="C721" s="1"/>
      <c r="D721" s="1"/>
      <c r="E721" s="1"/>
      <c r="F721" s="1"/>
      <c r="G721" s="1"/>
      <c r="H721" s="49"/>
      <c r="I721" s="49"/>
      <c r="J721" s="49"/>
      <c r="K721" s="49"/>
      <c r="L721" s="49"/>
      <c r="M721" s="49"/>
      <c r="N721" s="49"/>
      <c r="O721" s="49"/>
      <c r="P721" s="49"/>
      <c r="Q721" s="49"/>
      <c r="R721" s="49"/>
      <c r="S721" s="49"/>
      <c r="T721" s="49"/>
      <c r="U721" s="49"/>
      <c r="V721" s="49"/>
      <c r="W721" s="49"/>
      <c r="X721" s="49"/>
      <c r="Y721" s="49"/>
      <c r="Z721" s="49"/>
    </row>
    <row r="722" spans="1:26" ht="15.5">
      <c r="A722" s="1"/>
      <c r="B722" s="1"/>
      <c r="C722" s="1"/>
      <c r="D722" s="1"/>
      <c r="E722" s="1"/>
      <c r="F722" s="1"/>
      <c r="G722" s="1"/>
      <c r="H722" s="49"/>
      <c r="I722" s="49"/>
      <c r="J722" s="49"/>
      <c r="K722" s="49"/>
      <c r="L722" s="49"/>
      <c r="M722" s="49"/>
      <c r="N722" s="49"/>
      <c r="O722" s="49"/>
      <c r="P722" s="49"/>
      <c r="Q722" s="49"/>
      <c r="R722" s="49"/>
      <c r="S722" s="49"/>
      <c r="T722" s="49"/>
      <c r="U722" s="49"/>
      <c r="V722" s="49"/>
      <c r="W722" s="49"/>
      <c r="X722" s="49"/>
      <c r="Y722" s="49"/>
      <c r="Z722" s="49"/>
    </row>
    <row r="723" spans="1:26" ht="15.5">
      <c r="A723" s="1"/>
      <c r="B723" s="1"/>
      <c r="C723" s="1"/>
      <c r="D723" s="1"/>
      <c r="E723" s="1"/>
      <c r="F723" s="1"/>
      <c r="G723" s="1"/>
      <c r="H723" s="49"/>
      <c r="I723" s="49"/>
      <c r="J723" s="49"/>
      <c r="K723" s="49"/>
      <c r="L723" s="49"/>
      <c r="M723" s="49"/>
      <c r="N723" s="49"/>
      <c r="O723" s="49"/>
      <c r="P723" s="49"/>
      <c r="Q723" s="49"/>
      <c r="R723" s="49"/>
      <c r="S723" s="49"/>
      <c r="T723" s="49"/>
      <c r="U723" s="49"/>
      <c r="V723" s="49"/>
      <c r="W723" s="49"/>
      <c r="X723" s="49"/>
      <c r="Y723" s="49"/>
      <c r="Z723" s="49"/>
    </row>
    <row r="724" spans="1:26" ht="15.5">
      <c r="A724" s="1"/>
      <c r="B724" s="1"/>
      <c r="C724" s="1"/>
      <c r="D724" s="1"/>
      <c r="E724" s="1"/>
      <c r="F724" s="1"/>
      <c r="G724" s="1"/>
      <c r="H724" s="49"/>
      <c r="I724" s="49"/>
      <c r="J724" s="49"/>
      <c r="K724" s="49"/>
      <c r="L724" s="49"/>
      <c r="M724" s="49"/>
      <c r="N724" s="49"/>
      <c r="O724" s="49"/>
      <c r="P724" s="49"/>
      <c r="Q724" s="49"/>
      <c r="R724" s="49"/>
      <c r="S724" s="49"/>
      <c r="T724" s="49"/>
      <c r="U724" s="49"/>
      <c r="V724" s="49"/>
      <c r="W724" s="49"/>
      <c r="X724" s="49"/>
      <c r="Y724" s="49"/>
      <c r="Z724" s="49"/>
    </row>
    <row r="725" spans="1:26" ht="15.5">
      <c r="A725" s="1"/>
      <c r="B725" s="1"/>
      <c r="C725" s="1"/>
      <c r="D725" s="1"/>
      <c r="E725" s="1"/>
      <c r="F725" s="1"/>
      <c r="G725" s="1"/>
      <c r="H725" s="49"/>
      <c r="I725" s="49"/>
      <c r="J725" s="49"/>
      <c r="K725" s="49"/>
      <c r="L725" s="49"/>
      <c r="M725" s="49"/>
      <c r="N725" s="49"/>
      <c r="O725" s="49"/>
      <c r="P725" s="49"/>
      <c r="Q725" s="49"/>
      <c r="R725" s="49"/>
      <c r="S725" s="49"/>
      <c r="T725" s="49"/>
      <c r="U725" s="49"/>
      <c r="V725" s="49"/>
      <c r="W725" s="49"/>
      <c r="X725" s="49"/>
      <c r="Y725" s="49"/>
      <c r="Z725" s="49"/>
    </row>
    <row r="726" spans="1:26" ht="15.5">
      <c r="A726" s="1"/>
      <c r="B726" s="1"/>
      <c r="C726" s="1"/>
      <c r="D726" s="1"/>
      <c r="E726" s="1"/>
      <c r="F726" s="1"/>
      <c r="G726" s="1"/>
      <c r="H726" s="49"/>
      <c r="I726" s="49"/>
      <c r="J726" s="49"/>
      <c r="K726" s="49"/>
      <c r="L726" s="49"/>
      <c r="M726" s="49"/>
      <c r="N726" s="49"/>
      <c r="O726" s="49"/>
      <c r="P726" s="49"/>
      <c r="Q726" s="49"/>
      <c r="R726" s="49"/>
      <c r="S726" s="49"/>
      <c r="T726" s="49"/>
      <c r="U726" s="49"/>
      <c r="V726" s="49"/>
      <c r="W726" s="49"/>
      <c r="X726" s="49"/>
      <c r="Y726" s="49"/>
      <c r="Z726" s="49"/>
    </row>
    <row r="727" spans="1:26" ht="15.5">
      <c r="A727" s="1"/>
      <c r="B727" s="1"/>
      <c r="C727" s="1"/>
      <c r="D727" s="1"/>
      <c r="E727" s="1"/>
      <c r="F727" s="1"/>
      <c r="G727" s="1"/>
      <c r="H727" s="49"/>
      <c r="I727" s="49"/>
      <c r="J727" s="49"/>
      <c r="K727" s="49"/>
      <c r="L727" s="49"/>
      <c r="M727" s="49"/>
      <c r="N727" s="49"/>
      <c r="O727" s="49"/>
      <c r="P727" s="49"/>
      <c r="Q727" s="49"/>
      <c r="R727" s="49"/>
      <c r="S727" s="49"/>
      <c r="T727" s="49"/>
      <c r="U727" s="49"/>
      <c r="V727" s="49"/>
      <c r="W727" s="49"/>
      <c r="X727" s="49"/>
      <c r="Y727" s="49"/>
      <c r="Z727" s="49"/>
    </row>
    <row r="728" spans="1:26" ht="15.5">
      <c r="A728" s="1"/>
      <c r="B728" s="1"/>
      <c r="C728" s="1"/>
      <c r="D728" s="1"/>
      <c r="E728" s="1"/>
      <c r="F728" s="1"/>
      <c r="G728" s="1"/>
      <c r="H728" s="49"/>
      <c r="I728" s="49"/>
      <c r="J728" s="49"/>
      <c r="K728" s="49"/>
      <c r="L728" s="49"/>
      <c r="M728" s="49"/>
      <c r="N728" s="49"/>
      <c r="O728" s="49"/>
      <c r="P728" s="49"/>
      <c r="Q728" s="49"/>
      <c r="R728" s="49"/>
      <c r="S728" s="49"/>
      <c r="T728" s="49"/>
      <c r="U728" s="49"/>
      <c r="V728" s="49"/>
      <c r="W728" s="49"/>
      <c r="X728" s="49"/>
      <c r="Y728" s="49"/>
      <c r="Z728" s="49"/>
    </row>
    <row r="729" spans="1:26" ht="15.5">
      <c r="A729" s="1"/>
      <c r="B729" s="1"/>
      <c r="C729" s="1"/>
      <c r="D729" s="1"/>
      <c r="E729" s="1"/>
      <c r="F729" s="1"/>
      <c r="G729" s="1"/>
      <c r="H729" s="49"/>
      <c r="I729" s="49"/>
      <c r="J729" s="49"/>
      <c r="K729" s="49"/>
      <c r="L729" s="49"/>
      <c r="M729" s="49"/>
      <c r="N729" s="49"/>
      <c r="O729" s="49"/>
      <c r="P729" s="49"/>
      <c r="Q729" s="49"/>
      <c r="R729" s="49"/>
      <c r="S729" s="49"/>
      <c r="T729" s="49"/>
      <c r="U729" s="49"/>
      <c r="V729" s="49"/>
      <c r="W729" s="49"/>
      <c r="X729" s="49"/>
      <c r="Y729" s="49"/>
      <c r="Z729" s="49"/>
    </row>
    <row r="730" spans="1:26" ht="15.5">
      <c r="A730" s="1"/>
      <c r="B730" s="1"/>
      <c r="C730" s="1"/>
      <c r="D730" s="1"/>
      <c r="E730" s="1"/>
      <c r="F730" s="1"/>
      <c r="G730" s="1"/>
      <c r="H730" s="49"/>
      <c r="I730" s="49"/>
      <c r="J730" s="49"/>
      <c r="K730" s="49"/>
      <c r="L730" s="49"/>
      <c r="M730" s="49"/>
      <c r="N730" s="49"/>
      <c r="O730" s="49"/>
      <c r="P730" s="49"/>
      <c r="Q730" s="49"/>
      <c r="R730" s="49"/>
      <c r="S730" s="49"/>
      <c r="T730" s="49"/>
      <c r="U730" s="49"/>
      <c r="V730" s="49"/>
      <c r="W730" s="49"/>
      <c r="X730" s="49"/>
      <c r="Y730" s="49"/>
      <c r="Z730" s="49"/>
    </row>
    <row r="731" spans="1:26" ht="15.5">
      <c r="A731" s="1"/>
      <c r="B731" s="1"/>
      <c r="C731" s="1"/>
      <c r="D731" s="1"/>
      <c r="E731" s="1"/>
      <c r="F731" s="1"/>
      <c r="G731" s="1"/>
      <c r="H731" s="49"/>
      <c r="I731" s="49"/>
      <c r="J731" s="49"/>
      <c r="K731" s="49"/>
      <c r="L731" s="49"/>
      <c r="M731" s="49"/>
      <c r="N731" s="49"/>
      <c r="O731" s="49"/>
      <c r="P731" s="49"/>
      <c r="Q731" s="49"/>
      <c r="R731" s="49"/>
      <c r="S731" s="49"/>
      <c r="T731" s="49"/>
      <c r="U731" s="49"/>
      <c r="V731" s="49"/>
      <c r="W731" s="49"/>
      <c r="X731" s="49"/>
      <c r="Y731" s="49"/>
      <c r="Z731" s="49"/>
    </row>
    <row r="732" spans="1:26" ht="15.5">
      <c r="A732" s="1"/>
      <c r="B732" s="1"/>
      <c r="C732" s="1"/>
      <c r="D732" s="1"/>
      <c r="E732" s="1"/>
      <c r="F732" s="1"/>
      <c r="G732" s="1"/>
      <c r="H732" s="49"/>
      <c r="I732" s="49"/>
      <c r="J732" s="49"/>
      <c r="K732" s="49"/>
      <c r="L732" s="49"/>
      <c r="M732" s="49"/>
      <c r="N732" s="49"/>
      <c r="O732" s="49"/>
      <c r="P732" s="49"/>
      <c r="Q732" s="49"/>
      <c r="R732" s="49"/>
      <c r="S732" s="49"/>
      <c r="T732" s="49"/>
      <c r="U732" s="49"/>
      <c r="V732" s="49"/>
      <c r="W732" s="49"/>
      <c r="X732" s="49"/>
      <c r="Y732" s="49"/>
      <c r="Z732" s="49"/>
    </row>
    <row r="733" spans="1:26" ht="15.5">
      <c r="A733" s="1"/>
      <c r="B733" s="1"/>
      <c r="C733" s="1"/>
      <c r="D733" s="1"/>
      <c r="E733" s="1"/>
      <c r="F733" s="1"/>
      <c r="G733" s="1"/>
      <c r="H733" s="49"/>
      <c r="I733" s="49"/>
      <c r="J733" s="49"/>
      <c r="K733" s="49"/>
      <c r="L733" s="49"/>
      <c r="M733" s="49"/>
      <c r="N733" s="49"/>
      <c r="O733" s="49"/>
      <c r="P733" s="49"/>
      <c r="Q733" s="49"/>
      <c r="R733" s="49"/>
      <c r="S733" s="49"/>
      <c r="T733" s="49"/>
      <c r="U733" s="49"/>
      <c r="V733" s="49"/>
      <c r="W733" s="49"/>
      <c r="X733" s="49"/>
      <c r="Y733" s="49"/>
      <c r="Z733" s="49"/>
    </row>
    <row r="734" spans="1:26" ht="15.5">
      <c r="A734" s="1"/>
      <c r="B734" s="1"/>
      <c r="C734" s="1"/>
      <c r="D734" s="1"/>
      <c r="E734" s="1"/>
      <c r="F734" s="1"/>
      <c r="G734" s="1"/>
      <c r="H734" s="49"/>
      <c r="I734" s="49"/>
      <c r="J734" s="49"/>
      <c r="K734" s="49"/>
      <c r="L734" s="49"/>
      <c r="M734" s="49"/>
      <c r="N734" s="49"/>
      <c r="O734" s="49"/>
      <c r="P734" s="49"/>
      <c r="Q734" s="49"/>
      <c r="R734" s="49"/>
      <c r="S734" s="49"/>
      <c r="T734" s="49"/>
      <c r="U734" s="49"/>
      <c r="V734" s="49"/>
      <c r="W734" s="49"/>
      <c r="X734" s="49"/>
      <c r="Y734" s="49"/>
      <c r="Z734" s="49"/>
    </row>
    <row r="735" spans="1:26" ht="15.5">
      <c r="A735" s="1"/>
      <c r="B735" s="1"/>
      <c r="C735" s="1"/>
      <c r="D735" s="1"/>
      <c r="E735" s="1"/>
      <c r="F735" s="1"/>
      <c r="G735" s="1"/>
      <c r="H735" s="49"/>
      <c r="I735" s="49"/>
      <c r="J735" s="49"/>
      <c r="K735" s="49"/>
      <c r="L735" s="49"/>
      <c r="M735" s="49"/>
      <c r="N735" s="49"/>
      <c r="O735" s="49"/>
      <c r="P735" s="49"/>
      <c r="Q735" s="49"/>
      <c r="R735" s="49"/>
      <c r="S735" s="49"/>
      <c r="T735" s="49"/>
      <c r="U735" s="49"/>
      <c r="V735" s="49"/>
      <c r="W735" s="49"/>
      <c r="X735" s="49"/>
      <c r="Y735" s="49"/>
      <c r="Z735" s="49"/>
    </row>
    <row r="736" spans="1:26" ht="15.5">
      <c r="A736" s="1"/>
      <c r="B736" s="1"/>
      <c r="C736" s="1"/>
      <c r="D736" s="1"/>
      <c r="E736" s="1"/>
      <c r="F736" s="1"/>
      <c r="G736" s="1"/>
      <c r="H736" s="49"/>
      <c r="I736" s="49"/>
      <c r="J736" s="49"/>
      <c r="K736" s="49"/>
      <c r="L736" s="49"/>
      <c r="M736" s="49"/>
      <c r="N736" s="49"/>
      <c r="O736" s="49"/>
      <c r="P736" s="49"/>
      <c r="Q736" s="49"/>
      <c r="R736" s="49"/>
      <c r="S736" s="49"/>
      <c r="T736" s="49"/>
      <c r="U736" s="49"/>
      <c r="V736" s="49"/>
      <c r="W736" s="49"/>
      <c r="X736" s="49"/>
      <c r="Y736" s="49"/>
      <c r="Z736" s="49"/>
    </row>
    <row r="737" spans="1:26" ht="15.5">
      <c r="A737" s="1"/>
      <c r="B737" s="1"/>
      <c r="C737" s="1"/>
      <c r="D737" s="1"/>
      <c r="E737" s="1"/>
      <c r="F737" s="1"/>
      <c r="G737" s="1"/>
      <c r="H737" s="49"/>
      <c r="I737" s="49"/>
      <c r="J737" s="49"/>
      <c r="K737" s="49"/>
      <c r="L737" s="49"/>
      <c r="M737" s="49"/>
      <c r="N737" s="49"/>
      <c r="O737" s="49"/>
      <c r="P737" s="49"/>
      <c r="Q737" s="49"/>
      <c r="R737" s="49"/>
      <c r="S737" s="49"/>
      <c r="T737" s="49"/>
      <c r="U737" s="49"/>
      <c r="V737" s="49"/>
      <c r="W737" s="49"/>
      <c r="X737" s="49"/>
      <c r="Y737" s="49"/>
      <c r="Z737" s="49"/>
    </row>
    <row r="738" spans="1:26" ht="15.5">
      <c r="A738" s="1"/>
      <c r="B738" s="1"/>
      <c r="C738" s="1"/>
      <c r="D738" s="1"/>
      <c r="E738" s="1"/>
      <c r="F738" s="1"/>
      <c r="G738" s="1"/>
      <c r="H738" s="49"/>
      <c r="I738" s="49"/>
      <c r="J738" s="49"/>
      <c r="K738" s="49"/>
      <c r="L738" s="49"/>
      <c r="M738" s="49"/>
      <c r="N738" s="49"/>
      <c r="O738" s="49"/>
      <c r="P738" s="49"/>
      <c r="Q738" s="49"/>
      <c r="R738" s="49"/>
      <c r="S738" s="49"/>
      <c r="T738" s="49"/>
      <c r="U738" s="49"/>
      <c r="V738" s="49"/>
      <c r="W738" s="49"/>
      <c r="X738" s="49"/>
      <c r="Y738" s="49"/>
      <c r="Z738" s="49"/>
    </row>
    <row r="739" spans="1:26" ht="15.5">
      <c r="A739" s="1"/>
      <c r="B739" s="1"/>
      <c r="C739" s="1"/>
      <c r="D739" s="1"/>
      <c r="E739" s="1"/>
      <c r="F739" s="1"/>
      <c r="G739" s="1"/>
      <c r="H739" s="49"/>
      <c r="I739" s="49"/>
      <c r="J739" s="49"/>
      <c r="K739" s="49"/>
      <c r="L739" s="49"/>
      <c r="M739" s="49"/>
      <c r="N739" s="49"/>
      <c r="O739" s="49"/>
      <c r="P739" s="49"/>
      <c r="Q739" s="49"/>
      <c r="R739" s="49"/>
      <c r="S739" s="49"/>
      <c r="T739" s="49"/>
      <c r="U739" s="49"/>
      <c r="V739" s="49"/>
      <c r="W739" s="49"/>
      <c r="X739" s="49"/>
      <c r="Y739" s="49"/>
      <c r="Z739" s="49"/>
    </row>
    <row r="740" spans="1:26" ht="15.5">
      <c r="A740" s="1"/>
      <c r="B740" s="1"/>
      <c r="C740" s="1"/>
      <c r="D740" s="1"/>
      <c r="E740" s="1"/>
      <c r="F740" s="1"/>
      <c r="G740" s="1"/>
      <c r="H740" s="49"/>
      <c r="I740" s="49"/>
      <c r="J740" s="49"/>
      <c r="K740" s="49"/>
      <c r="L740" s="49"/>
      <c r="M740" s="49"/>
      <c r="N740" s="49"/>
      <c r="O740" s="49"/>
      <c r="P740" s="49"/>
      <c r="Q740" s="49"/>
      <c r="R740" s="49"/>
      <c r="S740" s="49"/>
      <c r="T740" s="49"/>
      <c r="U740" s="49"/>
      <c r="V740" s="49"/>
      <c r="W740" s="49"/>
      <c r="X740" s="49"/>
      <c r="Y740" s="49"/>
      <c r="Z740" s="49"/>
    </row>
    <row r="741" spans="1:26" ht="15.5">
      <c r="A741" s="1"/>
      <c r="B741" s="1"/>
      <c r="C741" s="1"/>
      <c r="D741" s="1"/>
      <c r="E741" s="1"/>
      <c r="F741" s="1"/>
      <c r="G741" s="1"/>
      <c r="H741" s="49"/>
      <c r="I741" s="49"/>
      <c r="J741" s="49"/>
      <c r="K741" s="49"/>
      <c r="L741" s="49"/>
      <c r="M741" s="49"/>
      <c r="N741" s="49"/>
      <c r="O741" s="49"/>
      <c r="P741" s="49"/>
      <c r="Q741" s="49"/>
      <c r="R741" s="49"/>
      <c r="S741" s="49"/>
      <c r="T741" s="49"/>
      <c r="U741" s="49"/>
      <c r="V741" s="49"/>
      <c r="W741" s="49"/>
      <c r="X741" s="49"/>
      <c r="Y741" s="49"/>
      <c r="Z741" s="49"/>
    </row>
    <row r="742" spans="1:26" ht="15.5">
      <c r="A742" s="1"/>
      <c r="B742" s="1"/>
      <c r="C742" s="1"/>
      <c r="D742" s="1"/>
      <c r="E742" s="1"/>
      <c r="F742" s="1"/>
      <c r="G742" s="1"/>
      <c r="H742" s="49"/>
      <c r="I742" s="49"/>
      <c r="J742" s="49"/>
      <c r="K742" s="49"/>
      <c r="L742" s="49"/>
      <c r="M742" s="49"/>
      <c r="N742" s="49"/>
      <c r="O742" s="49"/>
      <c r="P742" s="49"/>
      <c r="Q742" s="49"/>
      <c r="R742" s="49"/>
      <c r="S742" s="49"/>
      <c r="T742" s="49"/>
      <c r="U742" s="49"/>
      <c r="V742" s="49"/>
      <c r="W742" s="49"/>
      <c r="X742" s="49"/>
      <c r="Y742" s="49"/>
      <c r="Z742" s="49"/>
    </row>
    <row r="743" spans="1:26" ht="15.5">
      <c r="A743" s="1"/>
      <c r="B743" s="1"/>
      <c r="C743" s="1"/>
      <c r="D743" s="1"/>
      <c r="E743" s="1"/>
      <c r="F743" s="1"/>
      <c r="G743" s="1"/>
      <c r="H743" s="49"/>
      <c r="I743" s="49"/>
      <c r="J743" s="49"/>
      <c r="K743" s="49"/>
      <c r="L743" s="49"/>
      <c r="M743" s="49"/>
      <c r="N743" s="49"/>
      <c r="O743" s="49"/>
      <c r="P743" s="49"/>
      <c r="Q743" s="49"/>
      <c r="R743" s="49"/>
      <c r="S743" s="49"/>
      <c r="T743" s="49"/>
      <c r="U743" s="49"/>
      <c r="V743" s="49"/>
      <c r="W743" s="49"/>
      <c r="X743" s="49"/>
      <c r="Y743" s="49"/>
      <c r="Z743" s="49"/>
    </row>
    <row r="744" spans="1:26" ht="15.5">
      <c r="A744" s="1"/>
      <c r="B744" s="1"/>
      <c r="C744" s="1"/>
      <c r="D744" s="1"/>
      <c r="E744" s="1"/>
      <c r="F744" s="1"/>
      <c r="G744" s="1"/>
      <c r="H744" s="49"/>
      <c r="I744" s="49"/>
      <c r="J744" s="49"/>
      <c r="K744" s="49"/>
      <c r="L744" s="49"/>
      <c r="M744" s="49"/>
      <c r="N744" s="49"/>
      <c r="O744" s="49"/>
      <c r="P744" s="49"/>
      <c r="Q744" s="49"/>
      <c r="R744" s="49"/>
      <c r="S744" s="49"/>
      <c r="T744" s="49"/>
      <c r="U744" s="49"/>
      <c r="V744" s="49"/>
      <c r="W744" s="49"/>
      <c r="X744" s="49"/>
      <c r="Y744" s="49"/>
      <c r="Z744" s="49"/>
    </row>
    <row r="745" spans="1:26" ht="15.5">
      <c r="A745" s="1"/>
      <c r="B745" s="1"/>
      <c r="C745" s="1"/>
      <c r="D745" s="1"/>
      <c r="E745" s="1"/>
      <c r="F745" s="1"/>
      <c r="G745" s="1"/>
      <c r="H745" s="49"/>
      <c r="I745" s="49"/>
      <c r="J745" s="49"/>
      <c r="K745" s="49"/>
      <c r="L745" s="49"/>
      <c r="M745" s="49"/>
      <c r="N745" s="49"/>
      <c r="O745" s="49"/>
      <c r="P745" s="49"/>
      <c r="Q745" s="49"/>
      <c r="R745" s="49"/>
      <c r="S745" s="49"/>
      <c r="T745" s="49"/>
      <c r="U745" s="49"/>
      <c r="V745" s="49"/>
      <c r="W745" s="49"/>
      <c r="X745" s="49"/>
      <c r="Y745" s="49"/>
      <c r="Z745" s="49"/>
    </row>
    <row r="746" spans="1:26" ht="15.5">
      <c r="A746" s="1"/>
      <c r="B746" s="1"/>
      <c r="C746" s="1"/>
      <c r="D746" s="1"/>
      <c r="E746" s="1"/>
      <c r="F746" s="1"/>
      <c r="G746" s="1"/>
      <c r="H746" s="49"/>
      <c r="I746" s="49"/>
      <c r="J746" s="49"/>
      <c r="K746" s="49"/>
      <c r="L746" s="49"/>
      <c r="M746" s="49"/>
      <c r="N746" s="49"/>
      <c r="O746" s="49"/>
      <c r="P746" s="49"/>
      <c r="Q746" s="49"/>
      <c r="R746" s="49"/>
      <c r="S746" s="49"/>
      <c r="T746" s="49"/>
      <c r="U746" s="49"/>
      <c r="V746" s="49"/>
      <c r="W746" s="49"/>
      <c r="X746" s="49"/>
      <c r="Y746" s="49"/>
      <c r="Z746" s="49"/>
    </row>
    <row r="747" spans="1:26" ht="15.5">
      <c r="A747" s="1"/>
      <c r="B747" s="1"/>
      <c r="C747" s="1"/>
      <c r="D747" s="1"/>
      <c r="E747" s="1"/>
      <c r="F747" s="1"/>
      <c r="G747" s="1"/>
      <c r="H747" s="49"/>
      <c r="I747" s="49"/>
      <c r="J747" s="49"/>
      <c r="K747" s="49"/>
      <c r="L747" s="49"/>
      <c r="M747" s="49"/>
      <c r="N747" s="49"/>
      <c r="O747" s="49"/>
      <c r="P747" s="49"/>
      <c r="Q747" s="49"/>
      <c r="R747" s="49"/>
      <c r="S747" s="49"/>
      <c r="T747" s="49"/>
      <c r="U747" s="49"/>
      <c r="V747" s="49"/>
      <c r="W747" s="49"/>
      <c r="X747" s="49"/>
      <c r="Y747" s="49"/>
      <c r="Z747" s="49"/>
    </row>
    <row r="748" spans="1:26" ht="15.5">
      <c r="A748" s="1"/>
      <c r="B748" s="1"/>
      <c r="C748" s="1"/>
      <c r="D748" s="1"/>
      <c r="E748" s="1"/>
      <c r="F748" s="1"/>
      <c r="G748" s="1"/>
      <c r="H748" s="49"/>
      <c r="I748" s="49"/>
      <c r="J748" s="49"/>
      <c r="K748" s="49"/>
      <c r="L748" s="49"/>
      <c r="M748" s="49"/>
      <c r="N748" s="49"/>
      <c r="O748" s="49"/>
      <c r="P748" s="49"/>
      <c r="Q748" s="49"/>
      <c r="R748" s="49"/>
      <c r="S748" s="49"/>
      <c r="T748" s="49"/>
      <c r="U748" s="49"/>
      <c r="V748" s="49"/>
      <c r="W748" s="49"/>
      <c r="X748" s="49"/>
      <c r="Y748" s="49"/>
      <c r="Z748" s="49"/>
    </row>
    <row r="749" spans="1:26" ht="15.5">
      <c r="A749" s="1"/>
      <c r="B749" s="1"/>
      <c r="C749" s="1"/>
      <c r="D749" s="1"/>
      <c r="E749" s="1"/>
      <c r="F749" s="1"/>
      <c r="G749" s="1"/>
      <c r="H749" s="49"/>
      <c r="I749" s="49"/>
      <c r="J749" s="49"/>
      <c r="K749" s="49"/>
      <c r="L749" s="49"/>
      <c r="M749" s="49"/>
      <c r="N749" s="49"/>
      <c r="O749" s="49"/>
      <c r="P749" s="49"/>
      <c r="Q749" s="49"/>
      <c r="R749" s="49"/>
      <c r="S749" s="49"/>
      <c r="T749" s="49"/>
      <c r="U749" s="49"/>
      <c r="V749" s="49"/>
      <c r="W749" s="49"/>
      <c r="X749" s="49"/>
      <c r="Y749" s="49"/>
      <c r="Z749" s="49"/>
    </row>
    <row r="750" spans="1:26" ht="15.5">
      <c r="A750" s="1"/>
      <c r="B750" s="1"/>
      <c r="C750" s="1"/>
      <c r="D750" s="1"/>
      <c r="E750" s="1"/>
      <c r="F750" s="1"/>
      <c r="G750" s="1"/>
      <c r="H750" s="49"/>
      <c r="I750" s="49"/>
      <c r="J750" s="49"/>
      <c r="K750" s="49"/>
      <c r="L750" s="49"/>
      <c r="M750" s="49"/>
      <c r="N750" s="49"/>
      <c r="O750" s="49"/>
      <c r="P750" s="49"/>
      <c r="Q750" s="49"/>
      <c r="R750" s="49"/>
      <c r="S750" s="49"/>
      <c r="T750" s="49"/>
      <c r="U750" s="49"/>
      <c r="V750" s="49"/>
      <c r="W750" s="49"/>
      <c r="X750" s="49"/>
      <c r="Y750" s="49"/>
      <c r="Z750" s="49"/>
    </row>
    <row r="751" spans="1:26" ht="15.5">
      <c r="A751" s="1"/>
      <c r="B751" s="1"/>
      <c r="C751" s="1"/>
      <c r="D751" s="1"/>
      <c r="E751" s="1"/>
      <c r="F751" s="1"/>
      <c r="G751" s="1"/>
      <c r="H751" s="49"/>
      <c r="I751" s="49"/>
      <c r="J751" s="49"/>
      <c r="K751" s="49"/>
      <c r="L751" s="49"/>
      <c r="M751" s="49"/>
      <c r="N751" s="49"/>
      <c r="O751" s="49"/>
      <c r="P751" s="49"/>
      <c r="Q751" s="49"/>
      <c r="R751" s="49"/>
      <c r="S751" s="49"/>
      <c r="T751" s="49"/>
      <c r="U751" s="49"/>
      <c r="V751" s="49"/>
      <c r="W751" s="49"/>
      <c r="X751" s="49"/>
      <c r="Y751" s="49"/>
      <c r="Z751" s="49"/>
    </row>
    <row r="752" spans="1:26" ht="15.5">
      <c r="A752" s="1"/>
      <c r="B752" s="1"/>
      <c r="C752" s="1"/>
      <c r="D752" s="1"/>
      <c r="E752" s="1"/>
      <c r="F752" s="1"/>
      <c r="G752" s="1"/>
      <c r="H752" s="49"/>
      <c r="I752" s="49"/>
      <c r="J752" s="49"/>
      <c r="K752" s="49"/>
      <c r="L752" s="49"/>
      <c r="M752" s="49"/>
      <c r="N752" s="49"/>
      <c r="O752" s="49"/>
      <c r="P752" s="49"/>
      <c r="Q752" s="49"/>
      <c r="R752" s="49"/>
      <c r="S752" s="49"/>
      <c r="T752" s="49"/>
      <c r="U752" s="49"/>
      <c r="V752" s="49"/>
      <c r="W752" s="49"/>
      <c r="X752" s="49"/>
      <c r="Y752" s="49"/>
      <c r="Z752" s="49"/>
    </row>
    <row r="753" spans="1:26" ht="15.5">
      <c r="A753" s="1"/>
      <c r="B753" s="1"/>
      <c r="C753" s="1"/>
      <c r="D753" s="1"/>
      <c r="E753" s="1"/>
      <c r="F753" s="1"/>
      <c r="G753" s="1"/>
      <c r="H753" s="49"/>
      <c r="I753" s="49"/>
      <c r="J753" s="49"/>
      <c r="K753" s="49"/>
      <c r="L753" s="49"/>
      <c r="M753" s="49"/>
      <c r="N753" s="49"/>
      <c r="O753" s="49"/>
      <c r="P753" s="49"/>
      <c r="Q753" s="49"/>
      <c r="R753" s="49"/>
      <c r="S753" s="49"/>
      <c r="T753" s="49"/>
      <c r="U753" s="49"/>
      <c r="V753" s="49"/>
      <c r="W753" s="49"/>
      <c r="X753" s="49"/>
      <c r="Y753" s="49"/>
      <c r="Z753" s="49"/>
    </row>
    <row r="754" spans="1:26" ht="15.5">
      <c r="A754" s="1"/>
      <c r="B754" s="1"/>
      <c r="C754" s="1"/>
      <c r="D754" s="1"/>
      <c r="E754" s="1"/>
      <c r="F754" s="1"/>
      <c r="G754" s="1"/>
      <c r="H754" s="49"/>
      <c r="I754" s="49"/>
      <c r="J754" s="49"/>
      <c r="K754" s="49"/>
      <c r="L754" s="49"/>
      <c r="M754" s="49"/>
      <c r="N754" s="49"/>
      <c r="O754" s="49"/>
      <c r="P754" s="49"/>
      <c r="Q754" s="49"/>
      <c r="R754" s="49"/>
      <c r="S754" s="49"/>
      <c r="T754" s="49"/>
      <c r="U754" s="49"/>
      <c r="V754" s="49"/>
      <c r="W754" s="49"/>
      <c r="X754" s="49"/>
      <c r="Y754" s="49"/>
      <c r="Z754" s="49"/>
    </row>
    <row r="755" spans="1:26" ht="15.5">
      <c r="A755" s="1"/>
      <c r="B755" s="1"/>
      <c r="C755" s="1"/>
      <c r="D755" s="1"/>
      <c r="E755" s="1"/>
      <c r="F755" s="1"/>
      <c r="G755" s="1"/>
      <c r="H755" s="49"/>
      <c r="I755" s="49"/>
      <c r="J755" s="49"/>
      <c r="K755" s="49"/>
      <c r="L755" s="49"/>
      <c r="M755" s="49"/>
      <c r="N755" s="49"/>
      <c r="O755" s="49"/>
      <c r="P755" s="49"/>
      <c r="Q755" s="49"/>
      <c r="R755" s="49"/>
      <c r="S755" s="49"/>
      <c r="T755" s="49"/>
      <c r="U755" s="49"/>
      <c r="V755" s="49"/>
      <c r="W755" s="49"/>
      <c r="X755" s="49"/>
      <c r="Y755" s="49"/>
      <c r="Z755" s="49"/>
    </row>
    <row r="756" spans="1:26" ht="15.5">
      <c r="A756" s="1"/>
      <c r="B756" s="1"/>
      <c r="C756" s="1"/>
      <c r="D756" s="1"/>
      <c r="E756" s="1"/>
      <c r="F756" s="1"/>
      <c r="G756" s="1"/>
      <c r="H756" s="49"/>
      <c r="I756" s="49"/>
      <c r="J756" s="49"/>
      <c r="K756" s="49"/>
      <c r="L756" s="49"/>
      <c r="M756" s="49"/>
      <c r="N756" s="49"/>
      <c r="O756" s="49"/>
      <c r="P756" s="49"/>
      <c r="Q756" s="49"/>
      <c r="R756" s="49"/>
      <c r="S756" s="49"/>
      <c r="T756" s="49"/>
      <c r="U756" s="49"/>
      <c r="V756" s="49"/>
      <c r="W756" s="49"/>
      <c r="X756" s="49"/>
      <c r="Y756" s="49"/>
      <c r="Z756" s="49"/>
    </row>
    <row r="757" spans="1:26" ht="15.5">
      <c r="A757" s="1"/>
      <c r="B757" s="1"/>
      <c r="C757" s="1"/>
      <c r="D757" s="1"/>
      <c r="E757" s="1"/>
      <c r="F757" s="1"/>
      <c r="G757" s="1"/>
      <c r="H757" s="49"/>
      <c r="I757" s="49"/>
      <c r="J757" s="49"/>
      <c r="K757" s="49"/>
      <c r="L757" s="49"/>
      <c r="M757" s="49"/>
      <c r="N757" s="49"/>
      <c r="O757" s="49"/>
      <c r="P757" s="49"/>
      <c r="Q757" s="49"/>
      <c r="R757" s="49"/>
      <c r="S757" s="49"/>
      <c r="T757" s="49"/>
      <c r="U757" s="49"/>
      <c r="V757" s="49"/>
      <c r="W757" s="49"/>
      <c r="X757" s="49"/>
      <c r="Y757" s="49"/>
      <c r="Z757" s="49"/>
    </row>
    <row r="758" spans="1:26" ht="15.5">
      <c r="A758" s="1"/>
      <c r="B758" s="1"/>
      <c r="C758" s="1"/>
      <c r="D758" s="1"/>
      <c r="E758" s="1"/>
      <c r="F758" s="1"/>
      <c r="G758" s="1"/>
      <c r="H758" s="49"/>
      <c r="I758" s="49"/>
      <c r="J758" s="49"/>
      <c r="K758" s="49"/>
      <c r="L758" s="49"/>
      <c r="M758" s="49"/>
      <c r="N758" s="49"/>
      <c r="O758" s="49"/>
      <c r="P758" s="49"/>
      <c r="Q758" s="49"/>
      <c r="R758" s="49"/>
      <c r="S758" s="49"/>
      <c r="T758" s="49"/>
      <c r="U758" s="49"/>
      <c r="V758" s="49"/>
      <c r="W758" s="49"/>
      <c r="X758" s="49"/>
      <c r="Y758" s="49"/>
      <c r="Z758" s="49"/>
    </row>
    <row r="759" spans="1:26" ht="15.5">
      <c r="A759" s="1"/>
      <c r="B759" s="1"/>
      <c r="C759" s="1"/>
      <c r="D759" s="1"/>
      <c r="E759" s="1"/>
      <c r="F759" s="1"/>
      <c r="G759" s="1"/>
      <c r="H759" s="49"/>
      <c r="I759" s="49"/>
      <c r="J759" s="49"/>
      <c r="K759" s="49"/>
      <c r="L759" s="49"/>
      <c r="M759" s="49"/>
      <c r="N759" s="49"/>
      <c r="O759" s="49"/>
      <c r="P759" s="49"/>
      <c r="Q759" s="49"/>
      <c r="R759" s="49"/>
      <c r="S759" s="49"/>
      <c r="T759" s="49"/>
      <c r="U759" s="49"/>
      <c r="V759" s="49"/>
      <c r="W759" s="49"/>
      <c r="X759" s="49"/>
      <c r="Y759" s="49"/>
      <c r="Z759" s="49"/>
    </row>
    <row r="760" spans="1:26" ht="15.5">
      <c r="A760" s="1"/>
      <c r="B760" s="1"/>
      <c r="C760" s="1"/>
      <c r="D760" s="1"/>
      <c r="E760" s="1"/>
      <c r="F760" s="1"/>
      <c r="G760" s="1"/>
      <c r="H760" s="49"/>
      <c r="I760" s="49"/>
      <c r="J760" s="49"/>
      <c r="K760" s="49"/>
      <c r="L760" s="49"/>
      <c r="M760" s="49"/>
      <c r="N760" s="49"/>
      <c r="O760" s="49"/>
      <c r="P760" s="49"/>
      <c r="Q760" s="49"/>
      <c r="R760" s="49"/>
      <c r="S760" s="49"/>
      <c r="T760" s="49"/>
      <c r="U760" s="49"/>
      <c r="V760" s="49"/>
      <c r="W760" s="49"/>
      <c r="X760" s="49"/>
      <c r="Y760" s="49"/>
      <c r="Z760" s="49"/>
    </row>
    <row r="761" spans="1:26" ht="15.5">
      <c r="A761" s="1"/>
      <c r="B761" s="1"/>
      <c r="C761" s="1"/>
      <c r="D761" s="1"/>
      <c r="E761" s="1"/>
      <c r="F761" s="1"/>
      <c r="G761" s="1"/>
      <c r="H761" s="49"/>
      <c r="I761" s="49"/>
      <c r="J761" s="49"/>
      <c r="K761" s="49"/>
      <c r="L761" s="49"/>
      <c r="M761" s="49"/>
      <c r="N761" s="49"/>
      <c r="O761" s="49"/>
      <c r="P761" s="49"/>
      <c r="Q761" s="49"/>
      <c r="R761" s="49"/>
      <c r="S761" s="49"/>
      <c r="T761" s="49"/>
      <c r="U761" s="49"/>
      <c r="V761" s="49"/>
      <c r="W761" s="49"/>
      <c r="X761" s="49"/>
      <c r="Y761" s="49"/>
      <c r="Z761" s="49"/>
    </row>
    <row r="762" spans="1:26" ht="15.5">
      <c r="A762" s="1"/>
      <c r="B762" s="1"/>
      <c r="C762" s="1"/>
      <c r="D762" s="1"/>
      <c r="E762" s="1"/>
      <c r="F762" s="1"/>
      <c r="G762" s="1"/>
      <c r="H762" s="49"/>
      <c r="I762" s="49"/>
      <c r="J762" s="49"/>
      <c r="K762" s="49"/>
      <c r="L762" s="49"/>
      <c r="M762" s="49"/>
      <c r="N762" s="49"/>
      <c r="O762" s="49"/>
      <c r="P762" s="49"/>
      <c r="Q762" s="49"/>
      <c r="R762" s="49"/>
      <c r="S762" s="49"/>
      <c r="T762" s="49"/>
      <c r="U762" s="49"/>
      <c r="V762" s="49"/>
      <c r="W762" s="49"/>
      <c r="X762" s="49"/>
      <c r="Y762" s="49"/>
      <c r="Z762" s="49"/>
    </row>
    <row r="763" spans="1:26" ht="15.5">
      <c r="A763" s="1"/>
      <c r="B763" s="1"/>
      <c r="C763" s="1"/>
      <c r="D763" s="1"/>
      <c r="E763" s="1"/>
      <c r="F763" s="1"/>
      <c r="G763" s="1"/>
      <c r="H763" s="49"/>
      <c r="I763" s="49"/>
      <c r="J763" s="49"/>
      <c r="K763" s="49"/>
      <c r="L763" s="49"/>
      <c r="M763" s="49"/>
      <c r="N763" s="49"/>
      <c r="O763" s="49"/>
      <c r="P763" s="49"/>
      <c r="Q763" s="49"/>
      <c r="R763" s="49"/>
      <c r="S763" s="49"/>
      <c r="T763" s="49"/>
      <c r="U763" s="49"/>
      <c r="V763" s="49"/>
      <c r="W763" s="49"/>
      <c r="X763" s="49"/>
      <c r="Y763" s="49"/>
      <c r="Z763" s="49"/>
    </row>
    <row r="764" spans="1:26" ht="15.5">
      <c r="A764" s="1"/>
      <c r="B764" s="1"/>
      <c r="C764" s="1"/>
      <c r="D764" s="1"/>
      <c r="E764" s="1"/>
      <c r="F764" s="1"/>
      <c r="G764" s="1"/>
      <c r="H764" s="49"/>
      <c r="I764" s="49"/>
      <c r="J764" s="49"/>
      <c r="K764" s="49"/>
      <c r="L764" s="49"/>
      <c r="M764" s="49"/>
      <c r="N764" s="49"/>
      <c r="O764" s="49"/>
      <c r="P764" s="49"/>
      <c r="Q764" s="49"/>
      <c r="R764" s="49"/>
      <c r="S764" s="49"/>
      <c r="T764" s="49"/>
      <c r="U764" s="49"/>
      <c r="V764" s="49"/>
      <c r="W764" s="49"/>
      <c r="X764" s="49"/>
      <c r="Y764" s="49"/>
      <c r="Z764" s="49"/>
    </row>
    <row r="765" spans="1:26" ht="15.5">
      <c r="A765" s="1"/>
      <c r="B765" s="1"/>
      <c r="C765" s="1"/>
      <c r="D765" s="1"/>
      <c r="E765" s="1"/>
      <c r="F765" s="1"/>
      <c r="G765" s="1"/>
      <c r="H765" s="49"/>
      <c r="I765" s="49"/>
      <c r="J765" s="49"/>
      <c r="K765" s="49"/>
      <c r="L765" s="49"/>
      <c r="M765" s="49"/>
      <c r="N765" s="49"/>
      <c r="O765" s="49"/>
      <c r="P765" s="49"/>
      <c r="Q765" s="49"/>
      <c r="R765" s="49"/>
      <c r="S765" s="49"/>
      <c r="T765" s="49"/>
      <c r="U765" s="49"/>
      <c r="V765" s="49"/>
      <c r="W765" s="49"/>
      <c r="X765" s="49"/>
      <c r="Y765" s="49"/>
      <c r="Z765" s="49"/>
    </row>
    <row r="766" spans="1:26" ht="15.5">
      <c r="A766" s="1"/>
      <c r="B766" s="1"/>
      <c r="C766" s="1"/>
      <c r="D766" s="1"/>
      <c r="E766" s="1"/>
      <c r="F766" s="1"/>
      <c r="G766" s="1"/>
      <c r="H766" s="49"/>
      <c r="I766" s="49"/>
      <c r="J766" s="49"/>
      <c r="K766" s="49"/>
      <c r="L766" s="49"/>
      <c r="M766" s="49"/>
      <c r="N766" s="49"/>
      <c r="O766" s="49"/>
      <c r="P766" s="49"/>
      <c r="Q766" s="49"/>
      <c r="R766" s="49"/>
      <c r="S766" s="49"/>
      <c r="T766" s="49"/>
      <c r="U766" s="49"/>
      <c r="V766" s="49"/>
      <c r="W766" s="49"/>
      <c r="X766" s="49"/>
      <c r="Y766" s="49"/>
      <c r="Z766" s="49"/>
    </row>
    <row r="767" spans="1:26" ht="15.5">
      <c r="A767" s="1"/>
      <c r="B767" s="1"/>
      <c r="C767" s="1"/>
      <c r="D767" s="1"/>
      <c r="E767" s="1"/>
      <c r="F767" s="1"/>
      <c r="G767" s="1"/>
      <c r="H767" s="49"/>
      <c r="I767" s="49"/>
      <c r="J767" s="49"/>
      <c r="K767" s="49"/>
      <c r="L767" s="49"/>
      <c r="M767" s="49"/>
      <c r="N767" s="49"/>
      <c r="O767" s="49"/>
      <c r="P767" s="49"/>
      <c r="Q767" s="49"/>
      <c r="R767" s="49"/>
      <c r="S767" s="49"/>
      <c r="T767" s="49"/>
      <c r="U767" s="49"/>
      <c r="V767" s="49"/>
      <c r="W767" s="49"/>
      <c r="X767" s="49"/>
      <c r="Y767" s="49"/>
      <c r="Z767" s="49"/>
    </row>
    <row r="768" spans="1:26" ht="15.5">
      <c r="A768" s="1"/>
      <c r="B768" s="1"/>
      <c r="C768" s="1"/>
      <c r="D768" s="1"/>
      <c r="E768" s="1"/>
      <c r="F768" s="1"/>
      <c r="G768" s="1"/>
      <c r="H768" s="49"/>
      <c r="I768" s="49"/>
      <c r="J768" s="49"/>
      <c r="K768" s="49"/>
      <c r="L768" s="49"/>
      <c r="M768" s="49"/>
      <c r="N768" s="49"/>
      <c r="O768" s="49"/>
      <c r="P768" s="49"/>
      <c r="Q768" s="49"/>
      <c r="R768" s="49"/>
      <c r="S768" s="49"/>
      <c r="T768" s="49"/>
      <c r="U768" s="49"/>
      <c r="V768" s="49"/>
      <c r="W768" s="49"/>
      <c r="X768" s="49"/>
      <c r="Y768" s="49"/>
      <c r="Z768" s="49"/>
    </row>
    <row r="769" spans="1:26" ht="15.5">
      <c r="A769" s="1"/>
      <c r="B769" s="1"/>
      <c r="C769" s="1"/>
      <c r="D769" s="1"/>
      <c r="E769" s="1"/>
      <c r="F769" s="1"/>
      <c r="G769" s="1"/>
      <c r="H769" s="49"/>
      <c r="I769" s="49"/>
      <c r="J769" s="49"/>
      <c r="K769" s="49"/>
      <c r="L769" s="49"/>
      <c r="M769" s="49"/>
      <c r="N769" s="49"/>
      <c r="O769" s="49"/>
      <c r="P769" s="49"/>
      <c r="Q769" s="49"/>
      <c r="R769" s="49"/>
      <c r="S769" s="49"/>
      <c r="T769" s="49"/>
      <c r="U769" s="49"/>
      <c r="V769" s="49"/>
      <c r="W769" s="49"/>
      <c r="X769" s="49"/>
      <c r="Y769" s="49"/>
      <c r="Z769" s="49"/>
    </row>
    <row r="770" spans="1:26" ht="15.5">
      <c r="A770" s="1"/>
      <c r="B770" s="1"/>
      <c r="C770" s="1"/>
      <c r="D770" s="1"/>
      <c r="E770" s="1"/>
      <c r="F770" s="1"/>
      <c r="G770" s="1"/>
      <c r="H770" s="49"/>
      <c r="I770" s="49"/>
      <c r="J770" s="49"/>
      <c r="K770" s="49"/>
      <c r="L770" s="49"/>
      <c r="M770" s="49"/>
      <c r="N770" s="49"/>
      <c r="O770" s="49"/>
      <c r="P770" s="49"/>
      <c r="Q770" s="49"/>
      <c r="R770" s="49"/>
      <c r="S770" s="49"/>
      <c r="T770" s="49"/>
      <c r="U770" s="49"/>
      <c r="V770" s="49"/>
      <c r="W770" s="49"/>
      <c r="X770" s="49"/>
      <c r="Y770" s="49"/>
      <c r="Z770" s="49"/>
    </row>
    <row r="771" spans="1:26" ht="15.5">
      <c r="A771" s="1"/>
      <c r="B771" s="1"/>
      <c r="C771" s="1"/>
      <c r="D771" s="1"/>
      <c r="E771" s="1"/>
      <c r="F771" s="1"/>
      <c r="G771" s="1"/>
      <c r="H771" s="49"/>
      <c r="I771" s="49"/>
      <c r="J771" s="49"/>
      <c r="K771" s="49"/>
      <c r="L771" s="49"/>
      <c r="M771" s="49"/>
      <c r="N771" s="49"/>
      <c r="O771" s="49"/>
      <c r="P771" s="49"/>
      <c r="Q771" s="49"/>
      <c r="R771" s="49"/>
      <c r="S771" s="49"/>
      <c r="T771" s="49"/>
      <c r="U771" s="49"/>
      <c r="V771" s="49"/>
      <c r="W771" s="49"/>
      <c r="X771" s="49"/>
      <c r="Y771" s="49"/>
      <c r="Z771" s="49"/>
    </row>
    <row r="772" spans="1:26" ht="15.5">
      <c r="A772" s="1"/>
      <c r="B772" s="1"/>
      <c r="C772" s="1"/>
      <c r="D772" s="1"/>
      <c r="E772" s="1"/>
      <c r="F772" s="1"/>
      <c r="G772" s="1"/>
      <c r="H772" s="49"/>
      <c r="I772" s="49"/>
      <c r="J772" s="49"/>
      <c r="K772" s="49"/>
      <c r="L772" s="49"/>
      <c r="M772" s="49"/>
      <c r="N772" s="49"/>
      <c r="O772" s="49"/>
      <c r="P772" s="49"/>
      <c r="Q772" s="49"/>
      <c r="R772" s="49"/>
      <c r="S772" s="49"/>
      <c r="T772" s="49"/>
      <c r="U772" s="49"/>
      <c r="V772" s="49"/>
      <c r="W772" s="49"/>
      <c r="X772" s="49"/>
      <c r="Y772" s="49"/>
      <c r="Z772" s="49"/>
    </row>
    <row r="773" spans="1:26" ht="15.5">
      <c r="A773" s="1"/>
      <c r="B773" s="1"/>
      <c r="C773" s="1"/>
      <c r="D773" s="1"/>
      <c r="E773" s="1"/>
      <c r="F773" s="1"/>
      <c r="G773" s="1"/>
      <c r="H773" s="49"/>
      <c r="I773" s="49"/>
      <c r="J773" s="49"/>
      <c r="K773" s="49"/>
      <c r="L773" s="49"/>
      <c r="M773" s="49"/>
      <c r="N773" s="49"/>
      <c r="O773" s="49"/>
      <c r="P773" s="49"/>
      <c r="Q773" s="49"/>
      <c r="R773" s="49"/>
      <c r="S773" s="49"/>
      <c r="T773" s="49"/>
      <c r="U773" s="49"/>
      <c r="V773" s="49"/>
      <c r="W773" s="49"/>
      <c r="X773" s="49"/>
      <c r="Y773" s="49"/>
      <c r="Z773" s="49"/>
    </row>
    <row r="774" spans="1:26" ht="15.5">
      <c r="A774" s="1"/>
      <c r="B774" s="1"/>
      <c r="C774" s="1"/>
      <c r="D774" s="1"/>
      <c r="E774" s="1"/>
      <c r="F774" s="1"/>
      <c r="G774" s="1"/>
      <c r="H774" s="49"/>
      <c r="I774" s="49"/>
      <c r="J774" s="49"/>
      <c r="K774" s="49"/>
      <c r="L774" s="49"/>
      <c r="M774" s="49"/>
      <c r="N774" s="49"/>
      <c r="O774" s="49"/>
      <c r="P774" s="49"/>
      <c r="Q774" s="49"/>
      <c r="R774" s="49"/>
      <c r="S774" s="49"/>
      <c r="T774" s="49"/>
      <c r="U774" s="49"/>
      <c r="V774" s="49"/>
      <c r="W774" s="49"/>
      <c r="X774" s="49"/>
      <c r="Y774" s="49"/>
      <c r="Z774" s="49"/>
    </row>
    <row r="775" spans="1:26" ht="15.5">
      <c r="A775" s="1"/>
      <c r="B775" s="1"/>
      <c r="C775" s="1"/>
      <c r="D775" s="1"/>
      <c r="E775" s="1"/>
      <c r="F775" s="1"/>
      <c r="G775" s="1"/>
      <c r="H775" s="49"/>
      <c r="I775" s="49"/>
      <c r="J775" s="49"/>
      <c r="K775" s="49"/>
      <c r="L775" s="49"/>
      <c r="M775" s="49"/>
      <c r="N775" s="49"/>
      <c r="O775" s="49"/>
      <c r="P775" s="49"/>
      <c r="Q775" s="49"/>
      <c r="R775" s="49"/>
      <c r="S775" s="49"/>
      <c r="T775" s="49"/>
      <c r="U775" s="49"/>
      <c r="V775" s="49"/>
      <c r="W775" s="49"/>
      <c r="X775" s="49"/>
      <c r="Y775" s="49"/>
      <c r="Z775" s="49"/>
    </row>
    <row r="776" spans="1:26" ht="15.5">
      <c r="A776" s="1"/>
      <c r="B776" s="1"/>
      <c r="C776" s="1"/>
      <c r="D776" s="1"/>
      <c r="E776" s="1"/>
      <c r="F776" s="1"/>
      <c r="G776" s="1"/>
      <c r="H776" s="49"/>
      <c r="I776" s="49"/>
      <c r="J776" s="49"/>
      <c r="K776" s="49"/>
      <c r="L776" s="49"/>
      <c r="M776" s="49"/>
      <c r="N776" s="49"/>
      <c r="O776" s="49"/>
      <c r="P776" s="49"/>
      <c r="Q776" s="49"/>
      <c r="R776" s="49"/>
      <c r="S776" s="49"/>
      <c r="T776" s="49"/>
      <c r="U776" s="49"/>
      <c r="V776" s="49"/>
      <c r="W776" s="49"/>
      <c r="X776" s="49"/>
      <c r="Y776" s="49"/>
      <c r="Z776" s="49"/>
    </row>
    <row r="777" spans="1:26" ht="15.5">
      <c r="A777" s="1"/>
      <c r="B777" s="1"/>
      <c r="C777" s="1"/>
      <c r="D777" s="1"/>
      <c r="E777" s="1"/>
      <c r="F777" s="1"/>
      <c r="G777" s="1"/>
      <c r="H777" s="49"/>
      <c r="I777" s="49"/>
      <c r="J777" s="49"/>
      <c r="K777" s="49"/>
      <c r="L777" s="49"/>
      <c r="M777" s="49"/>
      <c r="N777" s="49"/>
      <c r="O777" s="49"/>
      <c r="P777" s="49"/>
      <c r="Q777" s="49"/>
      <c r="R777" s="49"/>
      <c r="S777" s="49"/>
      <c r="T777" s="49"/>
      <c r="U777" s="49"/>
      <c r="V777" s="49"/>
      <c r="W777" s="49"/>
      <c r="X777" s="49"/>
      <c r="Y777" s="49"/>
      <c r="Z777" s="49"/>
    </row>
    <row r="778" spans="1:26" ht="15.5">
      <c r="A778" s="1"/>
      <c r="B778" s="1"/>
      <c r="C778" s="1"/>
      <c r="D778" s="1"/>
      <c r="E778" s="1"/>
      <c r="F778" s="1"/>
      <c r="G778" s="1"/>
      <c r="H778" s="49"/>
      <c r="I778" s="49"/>
      <c r="J778" s="49"/>
      <c r="K778" s="49"/>
      <c r="L778" s="49"/>
      <c r="M778" s="49"/>
      <c r="N778" s="49"/>
      <c r="O778" s="49"/>
      <c r="P778" s="49"/>
      <c r="Q778" s="49"/>
      <c r="R778" s="49"/>
      <c r="S778" s="49"/>
      <c r="T778" s="49"/>
      <c r="U778" s="49"/>
      <c r="V778" s="49"/>
      <c r="W778" s="49"/>
      <c r="X778" s="49"/>
      <c r="Y778" s="49"/>
      <c r="Z778" s="49"/>
    </row>
    <row r="779" spans="1:26" ht="15.5">
      <c r="A779" s="1"/>
      <c r="B779" s="1"/>
      <c r="C779" s="1"/>
      <c r="D779" s="1"/>
      <c r="E779" s="1"/>
      <c r="F779" s="1"/>
      <c r="G779" s="1"/>
      <c r="H779" s="49"/>
      <c r="I779" s="49"/>
      <c r="J779" s="49"/>
      <c r="K779" s="49"/>
      <c r="L779" s="49"/>
      <c r="M779" s="49"/>
      <c r="N779" s="49"/>
      <c r="O779" s="49"/>
      <c r="P779" s="49"/>
      <c r="Q779" s="49"/>
      <c r="R779" s="49"/>
      <c r="S779" s="49"/>
      <c r="T779" s="49"/>
      <c r="U779" s="49"/>
      <c r="V779" s="49"/>
      <c r="W779" s="49"/>
      <c r="X779" s="49"/>
      <c r="Y779" s="49"/>
      <c r="Z779" s="49"/>
    </row>
    <row r="780" spans="1:26" ht="15.5">
      <c r="A780" s="1"/>
      <c r="B780" s="1"/>
      <c r="C780" s="1"/>
      <c r="D780" s="1"/>
      <c r="E780" s="1"/>
      <c r="F780" s="1"/>
      <c r="G780" s="1"/>
      <c r="H780" s="49"/>
      <c r="I780" s="49"/>
      <c r="J780" s="49"/>
      <c r="K780" s="49"/>
      <c r="L780" s="49"/>
      <c r="M780" s="49"/>
      <c r="N780" s="49"/>
      <c r="O780" s="49"/>
      <c r="P780" s="49"/>
      <c r="Q780" s="49"/>
      <c r="R780" s="49"/>
      <c r="S780" s="49"/>
      <c r="T780" s="49"/>
      <c r="U780" s="49"/>
      <c r="V780" s="49"/>
      <c r="W780" s="49"/>
      <c r="X780" s="49"/>
      <c r="Y780" s="49"/>
      <c r="Z780" s="49"/>
    </row>
    <row r="781" spans="1:26" ht="15.5">
      <c r="A781" s="1"/>
      <c r="B781" s="1"/>
      <c r="C781" s="1"/>
      <c r="D781" s="1"/>
      <c r="E781" s="1"/>
      <c r="F781" s="1"/>
      <c r="G781" s="1"/>
      <c r="H781" s="49"/>
      <c r="I781" s="49"/>
      <c r="J781" s="49"/>
      <c r="K781" s="49"/>
      <c r="L781" s="49"/>
      <c r="M781" s="49"/>
      <c r="N781" s="49"/>
      <c r="O781" s="49"/>
      <c r="P781" s="49"/>
      <c r="Q781" s="49"/>
      <c r="R781" s="49"/>
      <c r="S781" s="49"/>
      <c r="T781" s="49"/>
      <c r="U781" s="49"/>
      <c r="V781" s="49"/>
      <c r="W781" s="49"/>
      <c r="X781" s="49"/>
      <c r="Y781" s="49"/>
      <c r="Z781" s="49"/>
    </row>
    <row r="782" spans="1:26" ht="15.5">
      <c r="A782" s="1"/>
      <c r="B782" s="1"/>
      <c r="C782" s="1"/>
      <c r="D782" s="1"/>
      <c r="E782" s="1"/>
      <c r="F782" s="1"/>
      <c r="G782" s="1"/>
      <c r="H782" s="49"/>
      <c r="I782" s="49"/>
      <c r="J782" s="49"/>
      <c r="K782" s="49"/>
      <c r="L782" s="49"/>
      <c r="M782" s="49"/>
      <c r="N782" s="49"/>
      <c r="O782" s="49"/>
      <c r="P782" s="49"/>
      <c r="Q782" s="49"/>
      <c r="R782" s="49"/>
      <c r="S782" s="49"/>
      <c r="T782" s="49"/>
      <c r="U782" s="49"/>
      <c r="V782" s="49"/>
      <c r="W782" s="49"/>
      <c r="X782" s="49"/>
      <c r="Y782" s="49"/>
      <c r="Z782" s="49"/>
    </row>
    <row r="783" spans="1:26" ht="15.5">
      <c r="A783" s="1"/>
      <c r="B783" s="1"/>
      <c r="C783" s="1"/>
      <c r="D783" s="1"/>
      <c r="E783" s="1"/>
      <c r="F783" s="1"/>
      <c r="G783" s="1"/>
      <c r="H783" s="49"/>
      <c r="I783" s="49"/>
      <c r="J783" s="49"/>
      <c r="K783" s="49"/>
      <c r="L783" s="49"/>
      <c r="M783" s="49"/>
      <c r="N783" s="49"/>
      <c r="O783" s="49"/>
      <c r="P783" s="49"/>
      <c r="Q783" s="49"/>
      <c r="R783" s="49"/>
      <c r="S783" s="49"/>
      <c r="T783" s="49"/>
      <c r="U783" s="49"/>
      <c r="V783" s="49"/>
      <c r="W783" s="49"/>
      <c r="X783" s="49"/>
      <c r="Y783" s="49"/>
      <c r="Z783" s="49"/>
    </row>
    <row r="784" spans="1:26" ht="15.5">
      <c r="A784" s="1"/>
      <c r="B784" s="1"/>
      <c r="C784" s="1"/>
      <c r="D784" s="1"/>
      <c r="E784" s="1"/>
      <c r="F784" s="1"/>
      <c r="G784" s="1"/>
      <c r="H784" s="49"/>
      <c r="I784" s="49"/>
      <c r="J784" s="49"/>
      <c r="K784" s="49"/>
      <c r="L784" s="49"/>
      <c r="M784" s="49"/>
      <c r="N784" s="49"/>
      <c r="O784" s="49"/>
      <c r="P784" s="49"/>
      <c r="Q784" s="49"/>
      <c r="R784" s="49"/>
      <c r="S784" s="49"/>
      <c r="T784" s="49"/>
      <c r="U784" s="49"/>
      <c r="V784" s="49"/>
      <c r="W784" s="49"/>
      <c r="X784" s="49"/>
      <c r="Y784" s="49"/>
      <c r="Z784" s="49"/>
    </row>
    <row r="785" spans="1:26" ht="15.5">
      <c r="A785" s="1"/>
      <c r="B785" s="1"/>
      <c r="C785" s="1"/>
      <c r="D785" s="1"/>
      <c r="E785" s="1"/>
      <c r="F785" s="1"/>
      <c r="G785" s="1"/>
      <c r="H785" s="49"/>
      <c r="I785" s="49"/>
      <c r="J785" s="49"/>
      <c r="K785" s="49"/>
      <c r="L785" s="49"/>
      <c r="M785" s="49"/>
      <c r="N785" s="49"/>
      <c r="O785" s="49"/>
      <c r="P785" s="49"/>
      <c r="Q785" s="49"/>
      <c r="R785" s="49"/>
      <c r="S785" s="49"/>
      <c r="T785" s="49"/>
      <c r="U785" s="49"/>
      <c r="V785" s="49"/>
      <c r="W785" s="49"/>
      <c r="X785" s="49"/>
      <c r="Y785" s="49"/>
      <c r="Z785" s="49"/>
    </row>
    <row r="786" spans="1:26" ht="15.5">
      <c r="A786" s="1"/>
      <c r="B786" s="1"/>
      <c r="C786" s="1"/>
      <c r="D786" s="1"/>
      <c r="E786" s="1"/>
      <c r="F786" s="1"/>
      <c r="G786" s="1"/>
      <c r="H786" s="49"/>
      <c r="I786" s="49"/>
      <c r="J786" s="49"/>
      <c r="K786" s="49"/>
      <c r="L786" s="49"/>
      <c r="M786" s="49"/>
      <c r="N786" s="49"/>
      <c r="O786" s="49"/>
      <c r="P786" s="49"/>
      <c r="Q786" s="49"/>
      <c r="R786" s="49"/>
      <c r="S786" s="49"/>
      <c r="T786" s="49"/>
      <c r="U786" s="49"/>
      <c r="V786" s="49"/>
      <c r="W786" s="49"/>
      <c r="X786" s="49"/>
      <c r="Y786" s="49"/>
      <c r="Z786" s="49"/>
    </row>
    <row r="787" spans="1:26" ht="15.5">
      <c r="A787" s="1"/>
      <c r="B787" s="1"/>
      <c r="C787" s="1"/>
      <c r="D787" s="1"/>
      <c r="E787" s="1"/>
      <c r="F787" s="1"/>
      <c r="G787" s="1"/>
      <c r="H787" s="49"/>
      <c r="I787" s="49"/>
      <c r="J787" s="49"/>
      <c r="K787" s="49"/>
      <c r="L787" s="49"/>
      <c r="M787" s="49"/>
      <c r="N787" s="49"/>
      <c r="O787" s="49"/>
      <c r="P787" s="49"/>
      <c r="Q787" s="49"/>
      <c r="R787" s="49"/>
      <c r="S787" s="49"/>
      <c r="T787" s="49"/>
      <c r="U787" s="49"/>
      <c r="V787" s="49"/>
      <c r="W787" s="49"/>
      <c r="X787" s="49"/>
      <c r="Y787" s="49"/>
      <c r="Z787" s="49"/>
    </row>
    <row r="788" spans="1:26" ht="15.5">
      <c r="A788" s="1"/>
      <c r="B788" s="1"/>
      <c r="C788" s="1"/>
      <c r="D788" s="1"/>
      <c r="E788" s="1"/>
      <c r="F788" s="1"/>
      <c r="G788" s="1"/>
      <c r="H788" s="49"/>
      <c r="I788" s="49"/>
      <c r="J788" s="49"/>
      <c r="K788" s="49"/>
      <c r="L788" s="49"/>
      <c r="M788" s="49"/>
      <c r="N788" s="49"/>
      <c r="O788" s="49"/>
      <c r="P788" s="49"/>
      <c r="Q788" s="49"/>
      <c r="R788" s="49"/>
      <c r="S788" s="49"/>
      <c r="T788" s="49"/>
      <c r="U788" s="49"/>
      <c r="V788" s="49"/>
      <c r="W788" s="49"/>
      <c r="X788" s="49"/>
      <c r="Y788" s="49"/>
      <c r="Z788" s="49"/>
    </row>
    <row r="789" spans="1:26" ht="15.5">
      <c r="A789" s="1"/>
      <c r="B789" s="1"/>
      <c r="C789" s="1"/>
      <c r="D789" s="1"/>
      <c r="E789" s="1"/>
      <c r="F789" s="1"/>
      <c r="G789" s="1"/>
      <c r="H789" s="49"/>
      <c r="I789" s="49"/>
      <c r="J789" s="49"/>
      <c r="K789" s="49"/>
      <c r="L789" s="49"/>
      <c r="M789" s="49"/>
      <c r="N789" s="49"/>
      <c r="O789" s="49"/>
      <c r="P789" s="49"/>
      <c r="Q789" s="49"/>
      <c r="R789" s="49"/>
      <c r="S789" s="49"/>
      <c r="T789" s="49"/>
      <c r="U789" s="49"/>
      <c r="V789" s="49"/>
      <c r="W789" s="49"/>
      <c r="X789" s="49"/>
      <c r="Y789" s="49"/>
      <c r="Z789" s="49"/>
    </row>
    <row r="790" spans="1:26" ht="15.5">
      <c r="A790" s="1"/>
      <c r="B790" s="1"/>
      <c r="C790" s="1"/>
      <c r="D790" s="1"/>
      <c r="E790" s="1"/>
      <c r="F790" s="1"/>
      <c r="G790" s="1"/>
      <c r="H790" s="49"/>
      <c r="I790" s="49"/>
      <c r="J790" s="49"/>
      <c r="K790" s="49"/>
      <c r="L790" s="49"/>
      <c r="M790" s="49"/>
      <c r="N790" s="49"/>
      <c r="O790" s="49"/>
      <c r="P790" s="49"/>
      <c r="Q790" s="49"/>
      <c r="R790" s="49"/>
      <c r="S790" s="49"/>
      <c r="T790" s="49"/>
      <c r="U790" s="49"/>
      <c r="V790" s="49"/>
      <c r="W790" s="49"/>
      <c r="X790" s="49"/>
      <c r="Y790" s="49"/>
      <c r="Z790" s="49"/>
    </row>
    <row r="791" spans="1:26" ht="15.5">
      <c r="A791" s="1"/>
      <c r="B791" s="1"/>
      <c r="C791" s="1"/>
      <c r="D791" s="1"/>
      <c r="E791" s="1"/>
      <c r="F791" s="1"/>
      <c r="G791" s="1"/>
      <c r="H791" s="49"/>
      <c r="I791" s="49"/>
      <c r="J791" s="49"/>
      <c r="K791" s="49"/>
      <c r="L791" s="49"/>
      <c r="M791" s="49"/>
      <c r="N791" s="49"/>
      <c r="O791" s="49"/>
      <c r="P791" s="49"/>
      <c r="Q791" s="49"/>
      <c r="R791" s="49"/>
      <c r="S791" s="49"/>
      <c r="T791" s="49"/>
      <c r="U791" s="49"/>
      <c r="V791" s="49"/>
      <c r="W791" s="49"/>
      <c r="X791" s="49"/>
      <c r="Y791" s="49"/>
      <c r="Z791" s="49"/>
    </row>
    <row r="792" spans="1:26" ht="15.5">
      <c r="A792" s="1"/>
      <c r="B792" s="1"/>
      <c r="C792" s="1"/>
      <c r="D792" s="1"/>
      <c r="E792" s="1"/>
      <c r="F792" s="1"/>
      <c r="G792" s="1"/>
      <c r="H792" s="49"/>
      <c r="I792" s="49"/>
      <c r="J792" s="49"/>
      <c r="K792" s="49"/>
      <c r="L792" s="49"/>
      <c r="M792" s="49"/>
      <c r="N792" s="49"/>
      <c r="O792" s="49"/>
      <c r="P792" s="49"/>
      <c r="Q792" s="49"/>
      <c r="R792" s="49"/>
      <c r="S792" s="49"/>
      <c r="T792" s="49"/>
      <c r="U792" s="49"/>
      <c r="V792" s="49"/>
      <c r="W792" s="49"/>
      <c r="X792" s="49"/>
      <c r="Y792" s="49"/>
      <c r="Z792" s="49"/>
    </row>
    <row r="793" spans="1:26" ht="15.5">
      <c r="A793" s="1"/>
      <c r="B793" s="1"/>
      <c r="C793" s="1"/>
      <c r="D793" s="1"/>
      <c r="E793" s="1"/>
      <c r="F793" s="1"/>
      <c r="G793" s="1"/>
      <c r="H793" s="49"/>
      <c r="I793" s="49"/>
      <c r="J793" s="49"/>
      <c r="K793" s="49"/>
      <c r="L793" s="49"/>
      <c r="M793" s="49"/>
      <c r="N793" s="49"/>
      <c r="O793" s="49"/>
      <c r="P793" s="49"/>
      <c r="Q793" s="49"/>
      <c r="R793" s="49"/>
      <c r="S793" s="49"/>
      <c r="T793" s="49"/>
      <c r="U793" s="49"/>
      <c r="V793" s="49"/>
      <c r="W793" s="49"/>
      <c r="X793" s="49"/>
      <c r="Y793" s="49"/>
      <c r="Z793" s="49"/>
    </row>
    <row r="794" spans="1:26" ht="15.5">
      <c r="A794" s="1"/>
      <c r="B794" s="1"/>
      <c r="C794" s="1"/>
      <c r="D794" s="1"/>
      <c r="E794" s="1"/>
      <c r="F794" s="1"/>
      <c r="G794" s="1"/>
      <c r="H794" s="49"/>
      <c r="I794" s="49"/>
      <c r="J794" s="49"/>
      <c r="K794" s="49"/>
      <c r="L794" s="49"/>
      <c r="M794" s="49"/>
      <c r="N794" s="49"/>
      <c r="O794" s="49"/>
      <c r="P794" s="49"/>
      <c r="Q794" s="49"/>
      <c r="R794" s="49"/>
      <c r="S794" s="49"/>
      <c r="T794" s="49"/>
      <c r="U794" s="49"/>
      <c r="V794" s="49"/>
      <c r="W794" s="49"/>
      <c r="X794" s="49"/>
      <c r="Y794" s="49"/>
      <c r="Z794" s="49"/>
    </row>
    <row r="795" spans="1:26" ht="15.5">
      <c r="A795" s="1"/>
      <c r="B795" s="1"/>
      <c r="C795" s="1"/>
      <c r="D795" s="1"/>
      <c r="E795" s="1"/>
      <c r="F795" s="1"/>
      <c r="G795" s="1"/>
      <c r="H795" s="49"/>
      <c r="I795" s="49"/>
      <c r="J795" s="49"/>
      <c r="K795" s="49"/>
      <c r="L795" s="49"/>
      <c r="M795" s="49"/>
      <c r="N795" s="49"/>
      <c r="O795" s="49"/>
      <c r="P795" s="49"/>
      <c r="Q795" s="49"/>
      <c r="R795" s="49"/>
      <c r="S795" s="49"/>
      <c r="T795" s="49"/>
      <c r="U795" s="49"/>
      <c r="V795" s="49"/>
      <c r="W795" s="49"/>
      <c r="X795" s="49"/>
      <c r="Y795" s="49"/>
      <c r="Z795" s="49"/>
    </row>
    <row r="796" spans="1:26" ht="15.5">
      <c r="A796" s="1"/>
      <c r="B796" s="1"/>
      <c r="C796" s="1"/>
      <c r="D796" s="1"/>
      <c r="E796" s="1"/>
      <c r="F796" s="1"/>
      <c r="G796" s="1"/>
      <c r="H796" s="49"/>
      <c r="I796" s="49"/>
      <c r="J796" s="49"/>
      <c r="K796" s="49"/>
      <c r="L796" s="49"/>
      <c r="M796" s="49"/>
      <c r="N796" s="49"/>
      <c r="O796" s="49"/>
      <c r="P796" s="49"/>
      <c r="Q796" s="49"/>
      <c r="R796" s="49"/>
      <c r="S796" s="49"/>
      <c r="T796" s="49"/>
      <c r="U796" s="49"/>
      <c r="V796" s="49"/>
      <c r="W796" s="49"/>
      <c r="X796" s="49"/>
      <c r="Y796" s="49"/>
      <c r="Z796" s="49"/>
    </row>
    <row r="797" spans="1:26" ht="15.5">
      <c r="A797" s="1"/>
      <c r="B797" s="1"/>
      <c r="C797" s="1"/>
      <c r="D797" s="1"/>
      <c r="E797" s="1"/>
      <c r="F797" s="1"/>
      <c r="G797" s="1"/>
      <c r="H797" s="49"/>
      <c r="I797" s="49"/>
      <c r="J797" s="49"/>
      <c r="K797" s="49"/>
      <c r="L797" s="49"/>
      <c r="M797" s="49"/>
      <c r="N797" s="49"/>
      <c r="O797" s="49"/>
      <c r="P797" s="49"/>
      <c r="Q797" s="49"/>
      <c r="R797" s="49"/>
      <c r="S797" s="49"/>
      <c r="T797" s="49"/>
      <c r="U797" s="49"/>
      <c r="V797" s="49"/>
      <c r="W797" s="49"/>
      <c r="X797" s="49"/>
      <c r="Y797" s="49"/>
      <c r="Z797" s="49"/>
    </row>
    <row r="798" spans="1:26" ht="15.5">
      <c r="A798" s="1"/>
      <c r="B798" s="1"/>
      <c r="C798" s="1"/>
      <c r="D798" s="1"/>
      <c r="E798" s="1"/>
      <c r="F798" s="1"/>
      <c r="G798" s="1"/>
      <c r="H798" s="49"/>
      <c r="I798" s="49"/>
      <c r="J798" s="49"/>
      <c r="K798" s="49"/>
      <c r="L798" s="49"/>
      <c r="M798" s="49"/>
      <c r="N798" s="49"/>
      <c r="O798" s="49"/>
      <c r="P798" s="49"/>
      <c r="Q798" s="49"/>
      <c r="R798" s="49"/>
      <c r="S798" s="49"/>
      <c r="T798" s="49"/>
      <c r="U798" s="49"/>
      <c r="V798" s="49"/>
      <c r="W798" s="49"/>
      <c r="X798" s="49"/>
      <c r="Y798" s="49"/>
      <c r="Z798" s="49"/>
    </row>
    <row r="799" spans="1:26" ht="15.5">
      <c r="A799" s="1"/>
      <c r="B799" s="1"/>
      <c r="C799" s="1"/>
      <c r="D799" s="1"/>
      <c r="E799" s="1"/>
      <c r="F799" s="1"/>
      <c r="G799" s="1"/>
      <c r="H799" s="49"/>
      <c r="I799" s="49"/>
      <c r="J799" s="49"/>
      <c r="K799" s="49"/>
      <c r="L799" s="49"/>
      <c r="M799" s="49"/>
      <c r="N799" s="49"/>
      <c r="O799" s="49"/>
      <c r="P799" s="49"/>
      <c r="Q799" s="49"/>
      <c r="R799" s="49"/>
      <c r="S799" s="49"/>
      <c r="T799" s="49"/>
      <c r="U799" s="49"/>
      <c r="V799" s="49"/>
      <c r="W799" s="49"/>
      <c r="X799" s="49"/>
      <c r="Y799" s="49"/>
      <c r="Z799" s="49"/>
    </row>
    <row r="800" spans="1:26" ht="15.5">
      <c r="A800" s="1"/>
      <c r="B800" s="1"/>
      <c r="C800" s="1"/>
      <c r="D800" s="1"/>
      <c r="E800" s="1"/>
      <c r="F800" s="1"/>
      <c r="G800" s="1"/>
      <c r="H800" s="49"/>
      <c r="I800" s="49"/>
      <c r="J800" s="49"/>
      <c r="K800" s="49"/>
      <c r="L800" s="49"/>
      <c r="M800" s="49"/>
      <c r="N800" s="49"/>
      <c r="O800" s="49"/>
      <c r="P800" s="49"/>
      <c r="Q800" s="49"/>
      <c r="R800" s="49"/>
      <c r="S800" s="49"/>
      <c r="T800" s="49"/>
      <c r="U800" s="49"/>
      <c r="V800" s="49"/>
      <c r="W800" s="49"/>
      <c r="X800" s="49"/>
      <c r="Y800" s="49"/>
      <c r="Z800" s="49"/>
    </row>
    <row r="801" spans="1:26" ht="15.5">
      <c r="A801" s="1"/>
      <c r="B801" s="1"/>
      <c r="C801" s="1"/>
      <c r="D801" s="1"/>
      <c r="E801" s="1"/>
      <c r="F801" s="1"/>
      <c r="G801" s="1"/>
      <c r="H801" s="49"/>
      <c r="I801" s="49"/>
      <c r="J801" s="49"/>
      <c r="K801" s="49"/>
      <c r="L801" s="49"/>
      <c r="M801" s="49"/>
      <c r="N801" s="49"/>
      <c r="O801" s="49"/>
      <c r="P801" s="49"/>
      <c r="Q801" s="49"/>
      <c r="R801" s="49"/>
      <c r="S801" s="49"/>
      <c r="T801" s="49"/>
      <c r="U801" s="49"/>
      <c r="V801" s="49"/>
      <c r="W801" s="49"/>
      <c r="X801" s="49"/>
      <c r="Y801" s="49"/>
      <c r="Z801" s="49"/>
    </row>
    <row r="802" spans="1:26" ht="15.5">
      <c r="A802" s="1"/>
      <c r="B802" s="1"/>
      <c r="C802" s="1"/>
      <c r="D802" s="1"/>
      <c r="E802" s="1"/>
      <c r="F802" s="1"/>
      <c r="G802" s="1"/>
      <c r="H802" s="49"/>
      <c r="I802" s="49"/>
      <c r="J802" s="49"/>
      <c r="K802" s="49"/>
      <c r="L802" s="49"/>
      <c r="M802" s="49"/>
      <c r="N802" s="49"/>
      <c r="O802" s="49"/>
      <c r="P802" s="49"/>
      <c r="Q802" s="49"/>
      <c r="R802" s="49"/>
      <c r="S802" s="49"/>
      <c r="T802" s="49"/>
      <c r="U802" s="49"/>
      <c r="V802" s="49"/>
      <c r="W802" s="49"/>
      <c r="X802" s="49"/>
      <c r="Y802" s="49"/>
      <c r="Z802" s="49"/>
    </row>
    <row r="803" spans="1:26" ht="15.5">
      <c r="A803" s="1"/>
      <c r="B803" s="1"/>
      <c r="C803" s="1"/>
      <c r="D803" s="1"/>
      <c r="E803" s="1"/>
      <c r="F803" s="1"/>
      <c r="G803" s="1"/>
      <c r="H803" s="49"/>
      <c r="I803" s="49"/>
      <c r="J803" s="49"/>
      <c r="K803" s="49"/>
      <c r="L803" s="49"/>
      <c r="M803" s="49"/>
      <c r="N803" s="49"/>
      <c r="O803" s="49"/>
      <c r="P803" s="49"/>
      <c r="Q803" s="49"/>
      <c r="R803" s="49"/>
      <c r="S803" s="49"/>
      <c r="T803" s="49"/>
      <c r="U803" s="49"/>
      <c r="V803" s="49"/>
      <c r="W803" s="49"/>
      <c r="X803" s="49"/>
      <c r="Y803" s="49"/>
      <c r="Z803" s="49"/>
    </row>
    <row r="804" spans="1:26" ht="15.5">
      <c r="A804" s="1"/>
      <c r="B804" s="1"/>
      <c r="C804" s="1"/>
      <c r="D804" s="1"/>
      <c r="E804" s="1"/>
      <c r="F804" s="1"/>
      <c r="G804" s="1"/>
      <c r="H804" s="49"/>
      <c r="I804" s="49"/>
      <c r="J804" s="49"/>
      <c r="K804" s="49"/>
      <c r="L804" s="49"/>
      <c r="M804" s="49"/>
      <c r="N804" s="49"/>
      <c r="O804" s="49"/>
      <c r="P804" s="49"/>
      <c r="Q804" s="49"/>
      <c r="R804" s="49"/>
      <c r="S804" s="49"/>
      <c r="T804" s="49"/>
      <c r="U804" s="49"/>
      <c r="V804" s="49"/>
      <c r="W804" s="49"/>
      <c r="X804" s="49"/>
      <c r="Y804" s="49"/>
      <c r="Z804" s="49"/>
    </row>
    <row r="805" spans="1:26" ht="15.5">
      <c r="A805" s="1"/>
      <c r="B805" s="1"/>
      <c r="C805" s="1"/>
      <c r="D805" s="1"/>
      <c r="E805" s="1"/>
      <c r="F805" s="1"/>
      <c r="G805" s="1"/>
      <c r="H805" s="49"/>
      <c r="I805" s="49"/>
      <c r="J805" s="49"/>
      <c r="K805" s="49"/>
      <c r="L805" s="49"/>
      <c r="M805" s="49"/>
      <c r="N805" s="49"/>
      <c r="O805" s="49"/>
      <c r="P805" s="49"/>
      <c r="Q805" s="49"/>
      <c r="R805" s="49"/>
      <c r="S805" s="49"/>
      <c r="T805" s="49"/>
      <c r="U805" s="49"/>
      <c r="V805" s="49"/>
      <c r="W805" s="49"/>
      <c r="X805" s="49"/>
      <c r="Y805" s="49"/>
      <c r="Z805" s="49"/>
    </row>
    <row r="806" spans="1:26" ht="15.5">
      <c r="A806" s="1"/>
      <c r="B806" s="1"/>
      <c r="C806" s="1"/>
      <c r="D806" s="1"/>
      <c r="E806" s="1"/>
      <c r="F806" s="1"/>
      <c r="G806" s="1"/>
      <c r="H806" s="49"/>
      <c r="I806" s="49"/>
      <c r="J806" s="49"/>
      <c r="K806" s="49"/>
      <c r="L806" s="49"/>
      <c r="M806" s="49"/>
      <c r="N806" s="49"/>
      <c r="O806" s="49"/>
      <c r="P806" s="49"/>
      <c r="Q806" s="49"/>
      <c r="R806" s="49"/>
      <c r="S806" s="49"/>
      <c r="T806" s="49"/>
      <c r="U806" s="49"/>
      <c r="V806" s="49"/>
      <c r="W806" s="49"/>
      <c r="X806" s="49"/>
      <c r="Y806" s="49"/>
      <c r="Z806" s="49"/>
    </row>
    <row r="807" spans="1:26" ht="15.5">
      <c r="A807" s="1"/>
      <c r="B807" s="1"/>
      <c r="C807" s="1"/>
      <c r="D807" s="1"/>
      <c r="E807" s="1"/>
      <c r="F807" s="1"/>
      <c r="G807" s="1"/>
      <c r="H807" s="49"/>
      <c r="I807" s="49"/>
      <c r="J807" s="49"/>
      <c r="K807" s="49"/>
      <c r="L807" s="49"/>
      <c r="M807" s="49"/>
      <c r="N807" s="49"/>
      <c r="O807" s="49"/>
      <c r="P807" s="49"/>
      <c r="Q807" s="49"/>
      <c r="R807" s="49"/>
      <c r="S807" s="49"/>
      <c r="T807" s="49"/>
      <c r="U807" s="49"/>
      <c r="V807" s="49"/>
      <c r="W807" s="49"/>
      <c r="X807" s="49"/>
      <c r="Y807" s="49"/>
      <c r="Z807" s="49"/>
    </row>
    <row r="808" spans="1:26" ht="15.5">
      <c r="A808" s="1"/>
      <c r="B808" s="1"/>
      <c r="C808" s="1"/>
      <c r="D808" s="1"/>
      <c r="E808" s="1"/>
      <c r="F808" s="1"/>
      <c r="G808" s="1"/>
      <c r="H808" s="49"/>
      <c r="I808" s="49"/>
      <c r="J808" s="49"/>
      <c r="K808" s="49"/>
      <c r="L808" s="49"/>
      <c r="M808" s="49"/>
      <c r="N808" s="49"/>
      <c r="O808" s="49"/>
      <c r="P808" s="49"/>
      <c r="Q808" s="49"/>
      <c r="R808" s="49"/>
      <c r="S808" s="49"/>
      <c r="T808" s="49"/>
      <c r="U808" s="49"/>
      <c r="V808" s="49"/>
      <c r="W808" s="49"/>
      <c r="X808" s="49"/>
      <c r="Y808" s="49"/>
      <c r="Z808" s="49"/>
    </row>
    <row r="809" spans="1:26" ht="15.5">
      <c r="A809" s="1"/>
      <c r="B809" s="1"/>
      <c r="C809" s="1"/>
      <c r="D809" s="1"/>
      <c r="E809" s="1"/>
      <c r="F809" s="1"/>
      <c r="G809" s="1"/>
      <c r="H809" s="49"/>
      <c r="I809" s="49"/>
      <c r="J809" s="49"/>
      <c r="K809" s="49"/>
      <c r="L809" s="49"/>
      <c r="M809" s="49"/>
      <c r="N809" s="49"/>
      <c r="O809" s="49"/>
      <c r="P809" s="49"/>
      <c r="Q809" s="49"/>
      <c r="R809" s="49"/>
      <c r="S809" s="49"/>
      <c r="T809" s="49"/>
      <c r="U809" s="49"/>
      <c r="V809" s="49"/>
      <c r="W809" s="49"/>
      <c r="X809" s="49"/>
      <c r="Y809" s="49"/>
      <c r="Z809" s="49"/>
    </row>
    <row r="810" spans="1:26" ht="15.5">
      <c r="A810" s="1"/>
      <c r="B810" s="1"/>
      <c r="C810" s="1"/>
      <c r="D810" s="1"/>
      <c r="E810" s="1"/>
      <c r="F810" s="1"/>
      <c r="G810" s="1"/>
      <c r="H810" s="49"/>
      <c r="I810" s="49"/>
      <c r="J810" s="49"/>
      <c r="K810" s="49"/>
      <c r="L810" s="49"/>
      <c r="M810" s="49"/>
      <c r="N810" s="49"/>
      <c r="O810" s="49"/>
      <c r="P810" s="49"/>
      <c r="Q810" s="49"/>
      <c r="R810" s="49"/>
      <c r="S810" s="49"/>
      <c r="T810" s="49"/>
      <c r="U810" s="49"/>
      <c r="V810" s="49"/>
      <c r="W810" s="49"/>
      <c r="X810" s="49"/>
      <c r="Y810" s="49"/>
      <c r="Z810" s="49"/>
    </row>
    <row r="811" spans="1:26" ht="15.5">
      <c r="A811" s="1"/>
      <c r="B811" s="1"/>
      <c r="C811" s="1"/>
      <c r="D811" s="1"/>
      <c r="E811" s="1"/>
      <c r="F811" s="1"/>
      <c r="G811" s="1"/>
      <c r="H811" s="49"/>
      <c r="I811" s="49"/>
      <c r="J811" s="49"/>
      <c r="K811" s="49"/>
      <c r="L811" s="49"/>
      <c r="M811" s="49"/>
      <c r="N811" s="49"/>
      <c r="O811" s="49"/>
      <c r="P811" s="49"/>
      <c r="Q811" s="49"/>
      <c r="R811" s="49"/>
      <c r="S811" s="49"/>
      <c r="T811" s="49"/>
      <c r="U811" s="49"/>
      <c r="V811" s="49"/>
      <c r="W811" s="49"/>
      <c r="X811" s="49"/>
      <c r="Y811" s="49"/>
      <c r="Z811" s="49"/>
    </row>
    <row r="812" spans="1:26" ht="15.5">
      <c r="A812" s="1"/>
      <c r="B812" s="1"/>
      <c r="C812" s="1"/>
      <c r="D812" s="1"/>
      <c r="E812" s="1"/>
      <c r="F812" s="1"/>
      <c r="G812" s="1"/>
      <c r="H812" s="49"/>
      <c r="I812" s="49"/>
      <c r="J812" s="49"/>
      <c r="K812" s="49"/>
      <c r="L812" s="49"/>
      <c r="M812" s="49"/>
      <c r="N812" s="49"/>
      <c r="O812" s="49"/>
      <c r="P812" s="49"/>
      <c r="Q812" s="49"/>
      <c r="R812" s="49"/>
      <c r="S812" s="49"/>
      <c r="T812" s="49"/>
      <c r="U812" s="49"/>
      <c r="V812" s="49"/>
      <c r="W812" s="49"/>
      <c r="X812" s="49"/>
      <c r="Y812" s="49"/>
      <c r="Z812" s="49"/>
    </row>
    <row r="813" spans="1:26" ht="15.5">
      <c r="A813" s="1"/>
      <c r="B813" s="1"/>
      <c r="C813" s="1"/>
      <c r="D813" s="1"/>
      <c r="E813" s="1"/>
      <c r="F813" s="1"/>
      <c r="G813" s="1"/>
      <c r="H813" s="49"/>
      <c r="I813" s="49"/>
      <c r="J813" s="49"/>
      <c r="K813" s="49"/>
      <c r="L813" s="49"/>
      <c r="M813" s="49"/>
      <c r="N813" s="49"/>
      <c r="O813" s="49"/>
      <c r="P813" s="49"/>
      <c r="Q813" s="49"/>
      <c r="R813" s="49"/>
      <c r="S813" s="49"/>
      <c r="T813" s="49"/>
      <c r="U813" s="49"/>
      <c r="V813" s="49"/>
      <c r="W813" s="49"/>
      <c r="X813" s="49"/>
      <c r="Y813" s="49"/>
      <c r="Z813" s="49"/>
    </row>
    <row r="814" spans="1:26" ht="15.5">
      <c r="A814" s="1"/>
      <c r="B814" s="1"/>
      <c r="C814" s="1"/>
      <c r="D814" s="1"/>
      <c r="E814" s="1"/>
      <c r="F814" s="1"/>
      <c r="G814" s="1"/>
      <c r="H814" s="49"/>
      <c r="I814" s="49"/>
      <c r="J814" s="49"/>
      <c r="K814" s="49"/>
      <c r="L814" s="49"/>
      <c r="M814" s="49"/>
      <c r="N814" s="49"/>
      <c r="O814" s="49"/>
      <c r="P814" s="49"/>
      <c r="Q814" s="49"/>
      <c r="R814" s="49"/>
      <c r="S814" s="49"/>
      <c r="T814" s="49"/>
      <c r="U814" s="49"/>
      <c r="V814" s="49"/>
      <c r="W814" s="49"/>
      <c r="X814" s="49"/>
      <c r="Y814" s="49"/>
      <c r="Z814" s="49"/>
    </row>
    <row r="815" spans="1:26" ht="15.5">
      <c r="A815" s="1"/>
      <c r="B815" s="1"/>
      <c r="C815" s="1"/>
      <c r="D815" s="1"/>
      <c r="E815" s="1"/>
      <c r="F815" s="1"/>
      <c r="G815" s="1"/>
      <c r="H815" s="49"/>
      <c r="I815" s="49"/>
      <c r="J815" s="49"/>
      <c r="K815" s="49"/>
      <c r="L815" s="49"/>
      <c r="M815" s="49"/>
      <c r="N815" s="49"/>
      <c r="O815" s="49"/>
      <c r="P815" s="49"/>
      <c r="Q815" s="49"/>
      <c r="R815" s="49"/>
      <c r="S815" s="49"/>
      <c r="T815" s="49"/>
      <c r="U815" s="49"/>
      <c r="V815" s="49"/>
      <c r="W815" s="49"/>
      <c r="X815" s="49"/>
      <c r="Y815" s="49"/>
      <c r="Z815" s="49"/>
    </row>
    <row r="816" spans="1:26" ht="15.5">
      <c r="A816" s="1"/>
      <c r="B816" s="1"/>
      <c r="C816" s="1"/>
      <c r="D816" s="1"/>
      <c r="E816" s="1"/>
      <c r="F816" s="1"/>
      <c r="G816" s="1"/>
      <c r="H816" s="49"/>
      <c r="I816" s="49"/>
      <c r="J816" s="49"/>
      <c r="K816" s="49"/>
      <c r="L816" s="49"/>
      <c r="M816" s="49"/>
      <c r="N816" s="49"/>
      <c r="O816" s="49"/>
      <c r="P816" s="49"/>
      <c r="Q816" s="49"/>
      <c r="R816" s="49"/>
      <c r="S816" s="49"/>
      <c r="T816" s="49"/>
      <c r="U816" s="49"/>
      <c r="V816" s="49"/>
      <c r="W816" s="49"/>
      <c r="X816" s="49"/>
      <c r="Y816" s="49"/>
      <c r="Z816" s="49"/>
    </row>
    <row r="817" spans="1:26" ht="15.5">
      <c r="A817" s="1"/>
      <c r="B817" s="1"/>
      <c r="C817" s="1"/>
      <c r="D817" s="1"/>
      <c r="E817" s="1"/>
      <c r="F817" s="1"/>
      <c r="G817" s="1"/>
      <c r="H817" s="49"/>
      <c r="I817" s="49"/>
      <c r="J817" s="49"/>
      <c r="K817" s="49"/>
      <c r="L817" s="49"/>
      <c r="M817" s="49"/>
      <c r="N817" s="49"/>
      <c r="O817" s="49"/>
      <c r="P817" s="49"/>
      <c r="Q817" s="49"/>
      <c r="R817" s="49"/>
      <c r="S817" s="49"/>
      <c r="T817" s="49"/>
      <c r="U817" s="49"/>
      <c r="V817" s="49"/>
      <c r="W817" s="49"/>
      <c r="X817" s="49"/>
      <c r="Y817" s="49"/>
      <c r="Z817" s="49"/>
    </row>
    <row r="818" spans="1:26" ht="15.5">
      <c r="A818" s="1"/>
      <c r="B818" s="1"/>
      <c r="C818" s="1"/>
      <c r="D818" s="1"/>
      <c r="E818" s="1"/>
      <c r="F818" s="1"/>
      <c r="G818" s="1"/>
      <c r="H818" s="49"/>
      <c r="I818" s="49"/>
      <c r="J818" s="49"/>
      <c r="K818" s="49"/>
      <c r="L818" s="49"/>
      <c r="M818" s="49"/>
      <c r="N818" s="49"/>
      <c r="O818" s="49"/>
      <c r="P818" s="49"/>
      <c r="Q818" s="49"/>
      <c r="R818" s="49"/>
      <c r="S818" s="49"/>
      <c r="T818" s="49"/>
      <c r="U818" s="49"/>
      <c r="V818" s="49"/>
      <c r="W818" s="49"/>
      <c r="X818" s="49"/>
      <c r="Y818" s="49"/>
      <c r="Z818" s="49"/>
    </row>
    <row r="819" spans="1:26" ht="15.5">
      <c r="A819" s="1"/>
      <c r="B819" s="1"/>
      <c r="C819" s="1"/>
      <c r="D819" s="1"/>
      <c r="E819" s="1"/>
      <c r="F819" s="1"/>
      <c r="G819" s="1"/>
      <c r="H819" s="49"/>
      <c r="I819" s="49"/>
      <c r="J819" s="49"/>
      <c r="K819" s="49"/>
      <c r="L819" s="49"/>
      <c r="M819" s="49"/>
      <c r="N819" s="49"/>
      <c r="O819" s="49"/>
      <c r="P819" s="49"/>
      <c r="Q819" s="49"/>
      <c r="R819" s="49"/>
      <c r="S819" s="49"/>
      <c r="T819" s="49"/>
      <c r="U819" s="49"/>
      <c r="V819" s="49"/>
      <c r="W819" s="49"/>
      <c r="X819" s="49"/>
      <c r="Y819" s="49"/>
      <c r="Z819" s="49"/>
    </row>
    <row r="820" spans="1:26" ht="15.5">
      <c r="A820" s="1"/>
      <c r="B820" s="1"/>
      <c r="C820" s="1"/>
      <c r="D820" s="1"/>
      <c r="E820" s="1"/>
      <c r="F820" s="1"/>
      <c r="G820" s="1"/>
      <c r="H820" s="49"/>
      <c r="I820" s="49"/>
      <c r="J820" s="49"/>
      <c r="K820" s="49"/>
      <c r="L820" s="49"/>
      <c r="M820" s="49"/>
      <c r="N820" s="49"/>
      <c r="O820" s="49"/>
      <c r="P820" s="49"/>
      <c r="Q820" s="49"/>
      <c r="R820" s="49"/>
      <c r="S820" s="49"/>
      <c r="T820" s="49"/>
      <c r="U820" s="49"/>
      <c r="V820" s="49"/>
      <c r="W820" s="49"/>
      <c r="X820" s="49"/>
      <c r="Y820" s="49"/>
      <c r="Z820" s="49"/>
    </row>
    <row r="821" spans="1:26" ht="15.5">
      <c r="A821" s="1"/>
      <c r="B821" s="1"/>
      <c r="C821" s="1"/>
      <c r="D821" s="1"/>
      <c r="E821" s="1"/>
      <c r="F821" s="1"/>
      <c r="G821" s="1"/>
      <c r="H821" s="49"/>
      <c r="I821" s="49"/>
      <c r="J821" s="49"/>
      <c r="K821" s="49"/>
      <c r="L821" s="49"/>
      <c r="M821" s="49"/>
      <c r="N821" s="49"/>
      <c r="O821" s="49"/>
      <c r="P821" s="49"/>
      <c r="Q821" s="49"/>
      <c r="R821" s="49"/>
      <c r="S821" s="49"/>
      <c r="T821" s="49"/>
      <c r="U821" s="49"/>
      <c r="V821" s="49"/>
      <c r="W821" s="49"/>
      <c r="X821" s="49"/>
      <c r="Y821" s="49"/>
      <c r="Z821" s="49"/>
    </row>
    <row r="822" spans="1:26" ht="15.5">
      <c r="A822" s="1"/>
      <c r="B822" s="1"/>
      <c r="C822" s="1"/>
      <c r="D822" s="1"/>
      <c r="E822" s="1"/>
      <c r="F822" s="1"/>
      <c r="G822" s="1"/>
      <c r="H822" s="49"/>
      <c r="I822" s="49"/>
      <c r="J822" s="49"/>
      <c r="K822" s="49"/>
      <c r="L822" s="49"/>
      <c r="M822" s="49"/>
      <c r="N822" s="49"/>
      <c r="O822" s="49"/>
      <c r="P822" s="49"/>
      <c r="Q822" s="49"/>
      <c r="R822" s="49"/>
      <c r="S822" s="49"/>
      <c r="T822" s="49"/>
      <c r="U822" s="49"/>
      <c r="V822" s="49"/>
      <c r="W822" s="49"/>
      <c r="X822" s="49"/>
      <c r="Y822" s="49"/>
      <c r="Z822" s="49"/>
    </row>
    <row r="823" spans="1:26" ht="15.5">
      <c r="A823" s="1"/>
      <c r="B823" s="1"/>
      <c r="C823" s="1"/>
      <c r="D823" s="1"/>
      <c r="E823" s="1"/>
      <c r="F823" s="1"/>
      <c r="G823" s="1"/>
      <c r="H823" s="49"/>
      <c r="I823" s="49"/>
      <c r="J823" s="49"/>
      <c r="K823" s="49"/>
      <c r="L823" s="49"/>
      <c r="M823" s="49"/>
      <c r="N823" s="49"/>
      <c r="O823" s="49"/>
      <c r="P823" s="49"/>
      <c r="Q823" s="49"/>
      <c r="R823" s="49"/>
      <c r="S823" s="49"/>
      <c r="T823" s="49"/>
      <c r="U823" s="49"/>
      <c r="V823" s="49"/>
      <c r="W823" s="49"/>
      <c r="X823" s="49"/>
      <c r="Y823" s="49"/>
      <c r="Z823" s="49"/>
    </row>
    <row r="824" spans="1:26" ht="15.5">
      <c r="A824" s="1"/>
      <c r="B824" s="1"/>
      <c r="C824" s="1"/>
      <c r="D824" s="1"/>
      <c r="E824" s="1"/>
      <c r="F824" s="1"/>
      <c r="G824" s="1"/>
      <c r="H824" s="49"/>
      <c r="I824" s="49"/>
      <c r="J824" s="49"/>
      <c r="K824" s="49"/>
      <c r="L824" s="49"/>
      <c r="M824" s="49"/>
      <c r="N824" s="49"/>
      <c r="O824" s="49"/>
      <c r="P824" s="49"/>
      <c r="Q824" s="49"/>
      <c r="R824" s="49"/>
      <c r="S824" s="49"/>
      <c r="T824" s="49"/>
      <c r="U824" s="49"/>
      <c r="V824" s="49"/>
      <c r="W824" s="49"/>
      <c r="X824" s="49"/>
      <c r="Y824" s="49"/>
      <c r="Z824" s="49"/>
    </row>
    <row r="825" spans="1:26" ht="15.5">
      <c r="A825" s="1"/>
      <c r="B825" s="1"/>
      <c r="C825" s="1"/>
      <c r="D825" s="1"/>
      <c r="E825" s="1"/>
      <c r="F825" s="1"/>
      <c r="G825" s="1"/>
      <c r="H825" s="49"/>
      <c r="I825" s="49"/>
      <c r="J825" s="49"/>
      <c r="K825" s="49"/>
      <c r="L825" s="49"/>
      <c r="M825" s="49"/>
      <c r="N825" s="49"/>
      <c r="O825" s="49"/>
      <c r="P825" s="49"/>
      <c r="Q825" s="49"/>
      <c r="R825" s="49"/>
      <c r="S825" s="49"/>
      <c r="T825" s="49"/>
      <c r="U825" s="49"/>
      <c r="V825" s="49"/>
      <c r="W825" s="49"/>
      <c r="X825" s="49"/>
      <c r="Y825" s="49"/>
      <c r="Z825" s="49"/>
    </row>
    <row r="826" spans="1:26" ht="15.5">
      <c r="A826" s="1"/>
      <c r="B826" s="1"/>
      <c r="C826" s="1"/>
      <c r="D826" s="1"/>
      <c r="E826" s="1"/>
      <c r="F826" s="1"/>
      <c r="G826" s="1"/>
      <c r="H826" s="49"/>
      <c r="I826" s="49"/>
      <c r="J826" s="49"/>
      <c r="K826" s="49"/>
      <c r="L826" s="49"/>
      <c r="M826" s="49"/>
      <c r="N826" s="49"/>
      <c r="O826" s="49"/>
      <c r="P826" s="49"/>
      <c r="Q826" s="49"/>
      <c r="R826" s="49"/>
      <c r="S826" s="49"/>
      <c r="T826" s="49"/>
      <c r="U826" s="49"/>
      <c r="V826" s="49"/>
      <c r="W826" s="49"/>
      <c r="X826" s="49"/>
      <c r="Y826" s="49"/>
      <c r="Z826" s="49"/>
    </row>
    <row r="827" spans="1:26" ht="15.5">
      <c r="A827" s="1"/>
      <c r="B827" s="1"/>
      <c r="C827" s="1"/>
      <c r="D827" s="1"/>
      <c r="E827" s="1"/>
      <c r="F827" s="1"/>
      <c r="G827" s="1"/>
      <c r="H827" s="49"/>
      <c r="I827" s="49"/>
      <c r="J827" s="49"/>
      <c r="K827" s="49"/>
      <c r="L827" s="49"/>
      <c r="M827" s="49"/>
      <c r="N827" s="49"/>
      <c r="O827" s="49"/>
      <c r="P827" s="49"/>
      <c r="Q827" s="49"/>
      <c r="R827" s="49"/>
      <c r="S827" s="49"/>
      <c r="T827" s="49"/>
      <c r="U827" s="49"/>
      <c r="V827" s="49"/>
      <c r="W827" s="49"/>
      <c r="X827" s="49"/>
      <c r="Y827" s="49"/>
      <c r="Z827" s="49"/>
    </row>
    <row r="828" spans="1:26" ht="15.5">
      <c r="A828" s="1"/>
      <c r="B828" s="1"/>
      <c r="C828" s="1"/>
      <c r="D828" s="1"/>
      <c r="E828" s="1"/>
      <c r="F828" s="1"/>
      <c r="G828" s="1"/>
      <c r="H828" s="49"/>
      <c r="I828" s="49"/>
      <c r="J828" s="49"/>
      <c r="K828" s="49"/>
      <c r="L828" s="49"/>
      <c r="M828" s="49"/>
      <c r="N828" s="49"/>
      <c r="O828" s="49"/>
      <c r="P828" s="49"/>
      <c r="Q828" s="49"/>
      <c r="R828" s="49"/>
      <c r="S828" s="49"/>
      <c r="T828" s="49"/>
      <c r="U828" s="49"/>
      <c r="V828" s="49"/>
      <c r="W828" s="49"/>
      <c r="X828" s="49"/>
      <c r="Y828" s="49"/>
      <c r="Z828" s="49"/>
    </row>
    <row r="829" spans="1:26" ht="15.5">
      <c r="A829" s="1"/>
      <c r="B829" s="1"/>
      <c r="C829" s="1"/>
      <c r="D829" s="1"/>
      <c r="E829" s="1"/>
      <c r="F829" s="1"/>
      <c r="G829" s="1"/>
      <c r="H829" s="49"/>
      <c r="I829" s="49"/>
      <c r="J829" s="49"/>
      <c r="K829" s="49"/>
      <c r="L829" s="49"/>
      <c r="M829" s="49"/>
      <c r="N829" s="49"/>
      <c r="O829" s="49"/>
      <c r="P829" s="49"/>
      <c r="Q829" s="49"/>
      <c r="R829" s="49"/>
      <c r="S829" s="49"/>
      <c r="T829" s="49"/>
      <c r="U829" s="49"/>
      <c r="V829" s="49"/>
      <c r="W829" s="49"/>
      <c r="X829" s="49"/>
      <c r="Y829" s="49"/>
      <c r="Z829" s="49"/>
    </row>
    <row r="830" spans="1:26" ht="15.5">
      <c r="A830" s="1"/>
      <c r="B830" s="1"/>
      <c r="C830" s="1"/>
      <c r="D830" s="1"/>
      <c r="E830" s="1"/>
      <c r="F830" s="1"/>
      <c r="G830" s="1"/>
      <c r="H830" s="49"/>
      <c r="I830" s="49"/>
      <c r="J830" s="49"/>
      <c r="K830" s="49"/>
      <c r="L830" s="49"/>
      <c r="M830" s="49"/>
      <c r="N830" s="49"/>
      <c r="O830" s="49"/>
      <c r="P830" s="49"/>
      <c r="Q830" s="49"/>
      <c r="R830" s="49"/>
      <c r="S830" s="49"/>
      <c r="T830" s="49"/>
      <c r="U830" s="49"/>
      <c r="V830" s="49"/>
      <c r="W830" s="49"/>
      <c r="X830" s="49"/>
      <c r="Y830" s="49"/>
      <c r="Z830" s="49"/>
    </row>
    <row r="831" spans="1:26" ht="15.5">
      <c r="A831" s="1"/>
      <c r="B831" s="1"/>
      <c r="C831" s="1"/>
      <c r="D831" s="1"/>
      <c r="E831" s="1"/>
      <c r="F831" s="1"/>
      <c r="G831" s="1"/>
      <c r="H831" s="49"/>
      <c r="I831" s="49"/>
      <c r="J831" s="49"/>
      <c r="K831" s="49"/>
      <c r="L831" s="49"/>
      <c r="M831" s="49"/>
      <c r="N831" s="49"/>
      <c r="O831" s="49"/>
      <c r="P831" s="49"/>
      <c r="Q831" s="49"/>
      <c r="R831" s="49"/>
      <c r="S831" s="49"/>
      <c r="T831" s="49"/>
      <c r="U831" s="49"/>
      <c r="V831" s="49"/>
      <c r="W831" s="49"/>
      <c r="X831" s="49"/>
      <c r="Y831" s="49"/>
      <c r="Z831" s="49"/>
    </row>
    <row r="832" spans="1:26" ht="15.5">
      <c r="A832" s="1"/>
      <c r="B832" s="1"/>
      <c r="C832" s="1"/>
      <c r="D832" s="1"/>
      <c r="E832" s="1"/>
      <c r="F832" s="1"/>
      <c r="G832" s="1"/>
      <c r="H832" s="49"/>
      <c r="I832" s="49"/>
      <c r="J832" s="49"/>
      <c r="K832" s="49"/>
      <c r="L832" s="49"/>
      <c r="M832" s="49"/>
      <c r="N832" s="49"/>
      <c r="O832" s="49"/>
      <c r="P832" s="49"/>
      <c r="Q832" s="49"/>
      <c r="R832" s="49"/>
      <c r="S832" s="49"/>
      <c r="T832" s="49"/>
      <c r="U832" s="49"/>
      <c r="V832" s="49"/>
      <c r="W832" s="49"/>
      <c r="X832" s="49"/>
      <c r="Y832" s="49"/>
      <c r="Z832" s="49"/>
    </row>
    <row r="833" spans="1:26" ht="15.5">
      <c r="A833" s="1"/>
      <c r="B833" s="1"/>
      <c r="C833" s="1"/>
      <c r="D833" s="1"/>
      <c r="E833" s="1"/>
      <c r="F833" s="1"/>
      <c r="G833" s="1"/>
      <c r="H833" s="49"/>
      <c r="I833" s="49"/>
      <c r="J833" s="49"/>
      <c r="K833" s="49"/>
      <c r="L833" s="49"/>
      <c r="M833" s="49"/>
      <c r="N833" s="49"/>
      <c r="O833" s="49"/>
      <c r="P833" s="49"/>
      <c r="Q833" s="49"/>
      <c r="R833" s="49"/>
      <c r="S833" s="49"/>
      <c r="T833" s="49"/>
      <c r="U833" s="49"/>
      <c r="V833" s="49"/>
      <c r="W833" s="49"/>
      <c r="X833" s="49"/>
      <c r="Y833" s="49"/>
      <c r="Z833" s="49"/>
    </row>
    <row r="834" spans="1:26" ht="15.5">
      <c r="A834" s="1"/>
      <c r="B834" s="1"/>
      <c r="C834" s="1"/>
      <c r="D834" s="1"/>
      <c r="E834" s="1"/>
      <c r="F834" s="1"/>
      <c r="G834" s="1"/>
      <c r="H834" s="49"/>
      <c r="I834" s="49"/>
      <c r="J834" s="49"/>
      <c r="K834" s="49"/>
      <c r="L834" s="49"/>
      <c r="M834" s="49"/>
      <c r="N834" s="49"/>
      <c r="O834" s="49"/>
      <c r="P834" s="49"/>
      <c r="Q834" s="49"/>
      <c r="R834" s="49"/>
      <c r="S834" s="49"/>
      <c r="T834" s="49"/>
      <c r="U834" s="49"/>
      <c r="V834" s="49"/>
      <c r="W834" s="49"/>
      <c r="X834" s="49"/>
      <c r="Y834" s="49"/>
      <c r="Z834" s="49"/>
    </row>
    <row r="835" spans="1:26" ht="15.5">
      <c r="A835" s="1"/>
      <c r="B835" s="1"/>
      <c r="C835" s="1"/>
      <c r="D835" s="1"/>
      <c r="E835" s="1"/>
      <c r="F835" s="1"/>
      <c r="G835" s="1"/>
      <c r="H835" s="49"/>
      <c r="I835" s="49"/>
      <c r="J835" s="49"/>
      <c r="K835" s="49"/>
      <c r="L835" s="49"/>
      <c r="M835" s="49"/>
      <c r="N835" s="49"/>
      <c r="O835" s="49"/>
      <c r="P835" s="49"/>
      <c r="Q835" s="49"/>
      <c r="R835" s="49"/>
      <c r="S835" s="49"/>
      <c r="T835" s="49"/>
      <c r="U835" s="49"/>
      <c r="V835" s="49"/>
      <c r="W835" s="49"/>
      <c r="X835" s="49"/>
      <c r="Y835" s="49"/>
      <c r="Z835" s="49"/>
    </row>
    <row r="836" spans="1:26" ht="15.5">
      <c r="A836" s="1"/>
      <c r="B836" s="1"/>
      <c r="C836" s="1"/>
      <c r="D836" s="1"/>
      <c r="E836" s="1"/>
      <c r="F836" s="1"/>
      <c r="G836" s="1"/>
      <c r="H836" s="49"/>
      <c r="I836" s="49"/>
      <c r="J836" s="49"/>
      <c r="K836" s="49"/>
      <c r="L836" s="49"/>
      <c r="M836" s="49"/>
      <c r="N836" s="49"/>
      <c r="O836" s="49"/>
      <c r="P836" s="49"/>
      <c r="Q836" s="49"/>
      <c r="R836" s="49"/>
      <c r="S836" s="49"/>
      <c r="T836" s="49"/>
      <c r="U836" s="49"/>
      <c r="V836" s="49"/>
      <c r="W836" s="49"/>
      <c r="X836" s="49"/>
      <c r="Y836" s="49"/>
      <c r="Z836" s="49"/>
    </row>
    <row r="837" spans="1:26" ht="15.5">
      <c r="A837" s="1"/>
      <c r="B837" s="1"/>
      <c r="C837" s="1"/>
      <c r="D837" s="1"/>
      <c r="E837" s="1"/>
      <c r="F837" s="1"/>
      <c r="G837" s="1"/>
      <c r="H837" s="49"/>
      <c r="I837" s="49"/>
      <c r="J837" s="49"/>
      <c r="K837" s="49"/>
      <c r="L837" s="49"/>
      <c r="M837" s="49"/>
      <c r="N837" s="49"/>
      <c r="O837" s="49"/>
      <c r="P837" s="49"/>
      <c r="Q837" s="49"/>
      <c r="R837" s="49"/>
      <c r="S837" s="49"/>
      <c r="T837" s="49"/>
      <c r="U837" s="49"/>
      <c r="V837" s="49"/>
      <c r="W837" s="49"/>
      <c r="X837" s="49"/>
      <c r="Y837" s="49"/>
      <c r="Z837" s="49"/>
    </row>
    <row r="838" spans="1:26" ht="15.5">
      <c r="A838" s="1"/>
      <c r="B838" s="1"/>
      <c r="C838" s="1"/>
      <c r="D838" s="1"/>
      <c r="E838" s="1"/>
      <c r="F838" s="1"/>
      <c r="G838" s="1"/>
      <c r="H838" s="49"/>
      <c r="I838" s="49"/>
      <c r="J838" s="49"/>
      <c r="K838" s="49"/>
      <c r="L838" s="49"/>
      <c r="M838" s="49"/>
      <c r="N838" s="49"/>
      <c r="O838" s="49"/>
      <c r="P838" s="49"/>
      <c r="Q838" s="49"/>
      <c r="R838" s="49"/>
      <c r="S838" s="49"/>
      <c r="T838" s="49"/>
      <c r="U838" s="49"/>
      <c r="V838" s="49"/>
      <c r="W838" s="49"/>
      <c r="X838" s="49"/>
      <c r="Y838" s="49"/>
      <c r="Z838" s="49"/>
    </row>
    <row r="839" spans="1:26" ht="15.5">
      <c r="A839" s="1"/>
      <c r="B839" s="1"/>
      <c r="C839" s="1"/>
      <c r="D839" s="1"/>
      <c r="E839" s="1"/>
      <c r="F839" s="1"/>
      <c r="G839" s="1"/>
      <c r="H839" s="49"/>
      <c r="I839" s="49"/>
      <c r="J839" s="49"/>
      <c r="K839" s="49"/>
      <c r="L839" s="49"/>
      <c r="M839" s="49"/>
      <c r="N839" s="49"/>
      <c r="O839" s="49"/>
      <c r="P839" s="49"/>
      <c r="Q839" s="49"/>
      <c r="R839" s="49"/>
      <c r="S839" s="49"/>
      <c r="T839" s="49"/>
      <c r="U839" s="49"/>
      <c r="V839" s="49"/>
      <c r="W839" s="49"/>
      <c r="X839" s="49"/>
      <c r="Y839" s="49"/>
      <c r="Z839" s="49"/>
    </row>
    <row r="840" spans="1:26" ht="15.5">
      <c r="A840" s="1"/>
      <c r="B840" s="1"/>
      <c r="C840" s="1"/>
      <c r="D840" s="1"/>
      <c r="E840" s="1"/>
      <c r="F840" s="1"/>
      <c r="G840" s="1"/>
      <c r="H840" s="49"/>
      <c r="I840" s="49"/>
      <c r="J840" s="49"/>
      <c r="K840" s="49"/>
      <c r="L840" s="49"/>
      <c r="M840" s="49"/>
      <c r="N840" s="49"/>
      <c r="O840" s="49"/>
      <c r="P840" s="49"/>
      <c r="Q840" s="49"/>
      <c r="R840" s="49"/>
      <c r="S840" s="49"/>
      <c r="T840" s="49"/>
      <c r="U840" s="49"/>
      <c r="V840" s="49"/>
      <c r="W840" s="49"/>
      <c r="X840" s="49"/>
      <c r="Y840" s="49"/>
      <c r="Z840" s="49"/>
    </row>
    <row r="841" spans="1:26" ht="15.5">
      <c r="A841" s="1"/>
      <c r="B841" s="1"/>
      <c r="C841" s="1"/>
      <c r="D841" s="1"/>
      <c r="E841" s="1"/>
      <c r="F841" s="1"/>
      <c r="G841" s="1"/>
      <c r="H841" s="49"/>
      <c r="I841" s="49"/>
      <c r="J841" s="49"/>
      <c r="K841" s="49"/>
      <c r="L841" s="49"/>
      <c r="M841" s="49"/>
      <c r="N841" s="49"/>
      <c r="O841" s="49"/>
      <c r="P841" s="49"/>
      <c r="Q841" s="49"/>
      <c r="R841" s="49"/>
      <c r="S841" s="49"/>
      <c r="T841" s="49"/>
      <c r="U841" s="49"/>
      <c r="V841" s="49"/>
      <c r="W841" s="49"/>
      <c r="X841" s="49"/>
      <c r="Y841" s="49"/>
      <c r="Z841" s="49"/>
    </row>
    <row r="842" spans="1:26" ht="15.5">
      <c r="A842" s="1"/>
      <c r="B842" s="1"/>
      <c r="C842" s="1"/>
      <c r="D842" s="1"/>
      <c r="E842" s="1"/>
      <c r="F842" s="1"/>
      <c r="G842" s="1"/>
      <c r="H842" s="49"/>
      <c r="I842" s="49"/>
      <c r="J842" s="49"/>
      <c r="K842" s="49"/>
      <c r="L842" s="49"/>
      <c r="M842" s="49"/>
      <c r="N842" s="49"/>
      <c r="O842" s="49"/>
      <c r="P842" s="49"/>
      <c r="Q842" s="49"/>
      <c r="R842" s="49"/>
      <c r="S842" s="49"/>
      <c r="T842" s="49"/>
      <c r="U842" s="49"/>
      <c r="V842" s="49"/>
      <c r="W842" s="49"/>
      <c r="X842" s="49"/>
      <c r="Y842" s="49"/>
      <c r="Z842" s="49"/>
    </row>
    <row r="843" spans="1:26" ht="15.5">
      <c r="A843" s="1"/>
      <c r="B843" s="1"/>
      <c r="C843" s="1"/>
      <c r="D843" s="1"/>
      <c r="E843" s="1"/>
      <c r="F843" s="1"/>
      <c r="G843" s="1"/>
      <c r="H843" s="49"/>
      <c r="I843" s="49"/>
      <c r="J843" s="49"/>
      <c r="K843" s="49"/>
      <c r="L843" s="49"/>
      <c r="M843" s="49"/>
      <c r="N843" s="49"/>
      <c r="O843" s="49"/>
      <c r="P843" s="49"/>
      <c r="Q843" s="49"/>
      <c r="R843" s="49"/>
      <c r="S843" s="49"/>
      <c r="T843" s="49"/>
      <c r="U843" s="49"/>
      <c r="V843" s="49"/>
      <c r="W843" s="49"/>
      <c r="X843" s="49"/>
      <c r="Y843" s="49"/>
      <c r="Z843" s="49"/>
    </row>
    <row r="844" spans="1:26" ht="15.5">
      <c r="A844" s="1"/>
      <c r="B844" s="1"/>
      <c r="C844" s="1"/>
      <c r="D844" s="1"/>
      <c r="E844" s="1"/>
      <c r="F844" s="1"/>
      <c r="G844" s="1"/>
      <c r="H844" s="49"/>
      <c r="I844" s="49"/>
      <c r="J844" s="49"/>
      <c r="K844" s="49"/>
      <c r="L844" s="49"/>
      <c r="M844" s="49"/>
      <c r="N844" s="49"/>
      <c r="O844" s="49"/>
      <c r="P844" s="49"/>
      <c r="Q844" s="49"/>
      <c r="R844" s="49"/>
      <c r="S844" s="49"/>
      <c r="T844" s="49"/>
      <c r="U844" s="49"/>
      <c r="V844" s="49"/>
      <c r="W844" s="49"/>
      <c r="X844" s="49"/>
      <c r="Y844" s="49"/>
      <c r="Z844" s="49"/>
    </row>
    <row r="845" spans="1:26" ht="15.5">
      <c r="A845" s="1"/>
      <c r="B845" s="1"/>
      <c r="C845" s="1"/>
      <c r="D845" s="1"/>
      <c r="E845" s="1"/>
      <c r="F845" s="1"/>
      <c r="G845" s="1"/>
      <c r="H845" s="49"/>
      <c r="I845" s="49"/>
      <c r="J845" s="49"/>
      <c r="K845" s="49"/>
      <c r="L845" s="49"/>
      <c r="M845" s="49"/>
      <c r="N845" s="49"/>
      <c r="O845" s="49"/>
      <c r="P845" s="49"/>
      <c r="Q845" s="49"/>
      <c r="R845" s="49"/>
      <c r="S845" s="49"/>
      <c r="T845" s="49"/>
      <c r="U845" s="49"/>
      <c r="V845" s="49"/>
      <c r="W845" s="49"/>
      <c r="X845" s="49"/>
      <c r="Y845" s="49"/>
      <c r="Z845" s="49"/>
    </row>
    <row r="846" spans="1:26" ht="15.5">
      <c r="A846" s="1"/>
      <c r="B846" s="1"/>
      <c r="C846" s="1"/>
      <c r="D846" s="1"/>
      <c r="E846" s="1"/>
      <c r="F846" s="1"/>
      <c r="G846" s="1"/>
      <c r="H846" s="49"/>
      <c r="I846" s="49"/>
      <c r="J846" s="49"/>
      <c r="K846" s="49"/>
      <c r="L846" s="49"/>
      <c r="M846" s="49"/>
      <c r="N846" s="49"/>
      <c r="O846" s="49"/>
      <c r="P846" s="49"/>
      <c r="Q846" s="49"/>
      <c r="R846" s="49"/>
      <c r="S846" s="49"/>
      <c r="T846" s="49"/>
      <c r="U846" s="49"/>
      <c r="V846" s="49"/>
      <c r="W846" s="49"/>
      <c r="X846" s="49"/>
      <c r="Y846" s="49"/>
      <c r="Z846" s="49"/>
    </row>
    <row r="847" spans="1:26" ht="15.5">
      <c r="A847" s="1"/>
      <c r="B847" s="1"/>
      <c r="C847" s="1"/>
      <c r="D847" s="1"/>
      <c r="E847" s="1"/>
      <c r="F847" s="1"/>
      <c r="G847" s="1"/>
      <c r="H847" s="49"/>
      <c r="I847" s="49"/>
      <c r="J847" s="49"/>
      <c r="K847" s="49"/>
      <c r="L847" s="49"/>
      <c r="M847" s="49"/>
      <c r="N847" s="49"/>
      <c r="O847" s="49"/>
      <c r="P847" s="49"/>
      <c r="Q847" s="49"/>
      <c r="R847" s="49"/>
      <c r="S847" s="49"/>
      <c r="T847" s="49"/>
      <c r="U847" s="49"/>
      <c r="V847" s="49"/>
      <c r="W847" s="49"/>
      <c r="X847" s="49"/>
      <c r="Y847" s="49"/>
      <c r="Z847" s="49"/>
    </row>
    <row r="848" spans="1:26" ht="15.5">
      <c r="A848" s="1"/>
      <c r="B848" s="1"/>
      <c r="C848" s="1"/>
      <c r="D848" s="1"/>
      <c r="E848" s="1"/>
      <c r="F848" s="1"/>
      <c r="G848" s="1"/>
      <c r="H848" s="49"/>
      <c r="I848" s="49"/>
      <c r="J848" s="49"/>
      <c r="K848" s="49"/>
      <c r="L848" s="49"/>
      <c r="M848" s="49"/>
      <c r="N848" s="49"/>
      <c r="O848" s="49"/>
      <c r="P848" s="49"/>
      <c r="Q848" s="49"/>
      <c r="R848" s="49"/>
      <c r="S848" s="49"/>
      <c r="T848" s="49"/>
      <c r="U848" s="49"/>
      <c r="V848" s="49"/>
      <c r="W848" s="49"/>
      <c r="X848" s="49"/>
      <c r="Y848" s="49"/>
      <c r="Z848" s="49"/>
    </row>
    <row r="849" spans="1:26" ht="15.5">
      <c r="A849" s="1"/>
      <c r="B849" s="1"/>
      <c r="C849" s="1"/>
      <c r="D849" s="1"/>
      <c r="E849" s="1"/>
      <c r="F849" s="1"/>
      <c r="G849" s="1"/>
      <c r="H849" s="49"/>
      <c r="I849" s="49"/>
      <c r="J849" s="49"/>
      <c r="K849" s="49"/>
      <c r="L849" s="49"/>
      <c r="M849" s="49"/>
      <c r="N849" s="49"/>
      <c r="O849" s="49"/>
      <c r="P849" s="49"/>
      <c r="Q849" s="49"/>
      <c r="R849" s="49"/>
      <c r="S849" s="49"/>
      <c r="T849" s="49"/>
      <c r="U849" s="49"/>
      <c r="V849" s="49"/>
      <c r="W849" s="49"/>
      <c r="X849" s="49"/>
      <c r="Y849" s="49"/>
      <c r="Z849" s="49"/>
    </row>
    <row r="850" spans="1:26" ht="15.5">
      <c r="A850" s="1"/>
      <c r="B850" s="1"/>
      <c r="C850" s="1"/>
      <c r="D850" s="1"/>
      <c r="E850" s="1"/>
      <c r="F850" s="1"/>
      <c r="G850" s="1"/>
      <c r="H850" s="49"/>
      <c r="I850" s="49"/>
      <c r="J850" s="49"/>
      <c r="K850" s="49"/>
      <c r="L850" s="49"/>
      <c r="M850" s="49"/>
      <c r="N850" s="49"/>
      <c r="O850" s="49"/>
      <c r="P850" s="49"/>
      <c r="Q850" s="49"/>
      <c r="R850" s="49"/>
      <c r="S850" s="49"/>
      <c r="T850" s="49"/>
      <c r="U850" s="49"/>
      <c r="V850" s="49"/>
      <c r="W850" s="49"/>
      <c r="X850" s="49"/>
      <c r="Y850" s="49"/>
      <c r="Z850" s="49"/>
    </row>
    <row r="851" spans="1:26" ht="15.5">
      <c r="A851" s="1"/>
      <c r="B851" s="1"/>
      <c r="C851" s="1"/>
      <c r="D851" s="1"/>
      <c r="E851" s="1"/>
      <c r="F851" s="1"/>
      <c r="G851" s="1"/>
      <c r="H851" s="49"/>
      <c r="I851" s="49"/>
      <c r="J851" s="49"/>
      <c r="K851" s="49"/>
      <c r="L851" s="49"/>
      <c r="M851" s="49"/>
      <c r="N851" s="49"/>
      <c r="O851" s="49"/>
      <c r="P851" s="49"/>
      <c r="Q851" s="49"/>
      <c r="R851" s="49"/>
      <c r="S851" s="49"/>
      <c r="T851" s="49"/>
      <c r="U851" s="49"/>
      <c r="V851" s="49"/>
      <c r="W851" s="49"/>
      <c r="X851" s="49"/>
      <c r="Y851" s="49"/>
      <c r="Z851" s="49"/>
    </row>
    <row r="852" spans="1:26" ht="15.5">
      <c r="A852" s="1"/>
      <c r="B852" s="1"/>
      <c r="C852" s="1"/>
      <c r="D852" s="1"/>
      <c r="E852" s="1"/>
      <c r="F852" s="1"/>
      <c r="G852" s="1"/>
      <c r="H852" s="49"/>
      <c r="I852" s="49"/>
      <c r="J852" s="49"/>
      <c r="K852" s="49"/>
      <c r="L852" s="49"/>
      <c r="M852" s="49"/>
      <c r="N852" s="49"/>
      <c r="O852" s="49"/>
      <c r="P852" s="49"/>
      <c r="Q852" s="49"/>
      <c r="R852" s="49"/>
      <c r="S852" s="49"/>
      <c r="T852" s="49"/>
      <c r="U852" s="49"/>
      <c r="V852" s="49"/>
      <c r="W852" s="49"/>
      <c r="X852" s="49"/>
      <c r="Y852" s="49"/>
      <c r="Z852" s="49"/>
    </row>
    <row r="853" spans="1:26" ht="15.5">
      <c r="A853" s="1"/>
      <c r="B853" s="1"/>
      <c r="C853" s="1"/>
      <c r="D853" s="1"/>
      <c r="E853" s="1"/>
      <c r="F853" s="1"/>
      <c r="G853" s="1"/>
      <c r="H853" s="49"/>
      <c r="I853" s="49"/>
      <c r="J853" s="49"/>
      <c r="K853" s="49"/>
      <c r="L853" s="49"/>
      <c r="M853" s="49"/>
      <c r="N853" s="49"/>
      <c r="O853" s="49"/>
      <c r="P853" s="49"/>
      <c r="Q853" s="49"/>
      <c r="R853" s="49"/>
      <c r="S853" s="49"/>
      <c r="T853" s="49"/>
      <c r="U853" s="49"/>
      <c r="V853" s="49"/>
      <c r="W853" s="49"/>
      <c r="X853" s="49"/>
      <c r="Y853" s="49"/>
      <c r="Z853" s="49"/>
    </row>
    <row r="854" spans="1:26" ht="15.5">
      <c r="A854" s="1"/>
      <c r="B854" s="1"/>
      <c r="C854" s="1"/>
      <c r="D854" s="1"/>
      <c r="E854" s="1"/>
      <c r="F854" s="1"/>
      <c r="G854" s="1"/>
      <c r="H854" s="49"/>
      <c r="I854" s="49"/>
      <c r="J854" s="49"/>
      <c r="K854" s="49"/>
      <c r="L854" s="49"/>
      <c r="M854" s="49"/>
      <c r="N854" s="49"/>
      <c r="O854" s="49"/>
      <c r="P854" s="49"/>
      <c r="Q854" s="49"/>
      <c r="R854" s="49"/>
      <c r="S854" s="49"/>
      <c r="T854" s="49"/>
      <c r="U854" s="49"/>
      <c r="V854" s="49"/>
      <c r="W854" s="49"/>
      <c r="X854" s="49"/>
      <c r="Y854" s="49"/>
      <c r="Z854" s="49"/>
    </row>
    <row r="855" spans="1:26" ht="15.5">
      <c r="A855" s="1"/>
      <c r="B855" s="1"/>
      <c r="C855" s="1"/>
      <c r="D855" s="1"/>
      <c r="E855" s="1"/>
      <c r="F855" s="1"/>
      <c r="G855" s="1"/>
      <c r="H855" s="49"/>
      <c r="I855" s="49"/>
      <c r="J855" s="49"/>
      <c r="K855" s="49"/>
      <c r="L855" s="49"/>
      <c r="M855" s="49"/>
      <c r="N855" s="49"/>
      <c r="O855" s="49"/>
      <c r="P855" s="49"/>
      <c r="Q855" s="49"/>
      <c r="R855" s="49"/>
      <c r="S855" s="49"/>
      <c r="T855" s="49"/>
      <c r="U855" s="49"/>
      <c r="V855" s="49"/>
      <c r="W855" s="49"/>
      <c r="X855" s="49"/>
      <c r="Y855" s="49"/>
      <c r="Z855" s="49"/>
    </row>
    <row r="856" spans="1:26" ht="15.5">
      <c r="A856" s="1"/>
      <c r="B856" s="1"/>
      <c r="C856" s="1"/>
      <c r="D856" s="1"/>
      <c r="E856" s="1"/>
      <c r="F856" s="1"/>
      <c r="G856" s="1"/>
      <c r="H856" s="49"/>
      <c r="I856" s="49"/>
      <c r="J856" s="49"/>
      <c r="K856" s="49"/>
      <c r="L856" s="49"/>
      <c r="M856" s="49"/>
      <c r="N856" s="49"/>
      <c r="O856" s="49"/>
      <c r="P856" s="49"/>
      <c r="Q856" s="49"/>
      <c r="R856" s="49"/>
      <c r="S856" s="49"/>
      <c r="T856" s="49"/>
      <c r="U856" s="49"/>
      <c r="V856" s="49"/>
      <c r="W856" s="49"/>
      <c r="X856" s="49"/>
      <c r="Y856" s="49"/>
      <c r="Z856" s="49"/>
    </row>
    <row r="857" spans="1:26" ht="15.5">
      <c r="A857" s="1"/>
      <c r="B857" s="1"/>
      <c r="C857" s="1"/>
      <c r="D857" s="1"/>
      <c r="E857" s="1"/>
      <c r="F857" s="1"/>
      <c r="G857" s="1"/>
      <c r="H857" s="49"/>
      <c r="I857" s="49"/>
      <c r="J857" s="49"/>
      <c r="K857" s="49"/>
      <c r="L857" s="49"/>
      <c r="M857" s="49"/>
      <c r="N857" s="49"/>
      <c r="O857" s="49"/>
      <c r="P857" s="49"/>
      <c r="Q857" s="49"/>
      <c r="R857" s="49"/>
      <c r="S857" s="49"/>
      <c r="T857" s="49"/>
      <c r="U857" s="49"/>
      <c r="V857" s="49"/>
      <c r="W857" s="49"/>
      <c r="X857" s="49"/>
      <c r="Y857" s="49"/>
      <c r="Z857" s="49"/>
    </row>
    <row r="858" spans="1:26" ht="15.5">
      <c r="A858" s="1"/>
      <c r="B858" s="1"/>
      <c r="C858" s="1"/>
      <c r="D858" s="1"/>
      <c r="E858" s="1"/>
      <c r="F858" s="1"/>
      <c r="G858" s="1"/>
      <c r="H858" s="49"/>
      <c r="I858" s="49"/>
      <c r="J858" s="49"/>
      <c r="K858" s="49"/>
      <c r="L858" s="49"/>
      <c r="M858" s="49"/>
      <c r="N858" s="49"/>
      <c r="O858" s="49"/>
      <c r="P858" s="49"/>
      <c r="Q858" s="49"/>
      <c r="R858" s="49"/>
      <c r="S858" s="49"/>
      <c r="T858" s="49"/>
      <c r="U858" s="49"/>
      <c r="V858" s="49"/>
      <c r="W858" s="49"/>
      <c r="X858" s="49"/>
      <c r="Y858" s="49"/>
      <c r="Z858" s="49"/>
    </row>
    <row r="859" spans="1:26" ht="15.5">
      <c r="A859" s="1"/>
      <c r="B859" s="1"/>
      <c r="C859" s="1"/>
      <c r="D859" s="1"/>
      <c r="E859" s="1"/>
      <c r="F859" s="1"/>
      <c r="G859" s="1"/>
      <c r="H859" s="49"/>
      <c r="I859" s="49"/>
      <c r="J859" s="49"/>
      <c r="K859" s="49"/>
      <c r="L859" s="49"/>
      <c r="M859" s="49"/>
      <c r="N859" s="49"/>
      <c r="O859" s="49"/>
      <c r="P859" s="49"/>
      <c r="Q859" s="49"/>
      <c r="R859" s="49"/>
      <c r="S859" s="49"/>
      <c r="T859" s="49"/>
      <c r="U859" s="49"/>
      <c r="V859" s="49"/>
      <c r="W859" s="49"/>
      <c r="X859" s="49"/>
      <c r="Y859" s="49"/>
      <c r="Z859" s="49"/>
    </row>
    <row r="860" spans="1:26" ht="15.5">
      <c r="A860" s="1"/>
      <c r="B860" s="1"/>
      <c r="C860" s="1"/>
      <c r="D860" s="1"/>
      <c r="E860" s="1"/>
      <c r="F860" s="1"/>
      <c r="G860" s="1"/>
      <c r="H860" s="49"/>
      <c r="I860" s="49"/>
      <c r="J860" s="49"/>
      <c r="K860" s="49"/>
      <c r="L860" s="49"/>
      <c r="M860" s="49"/>
      <c r="N860" s="49"/>
      <c r="O860" s="49"/>
      <c r="P860" s="49"/>
      <c r="Q860" s="49"/>
      <c r="R860" s="49"/>
      <c r="S860" s="49"/>
      <c r="T860" s="49"/>
      <c r="U860" s="49"/>
      <c r="V860" s="49"/>
      <c r="W860" s="49"/>
      <c r="X860" s="49"/>
      <c r="Y860" s="49"/>
      <c r="Z860" s="49"/>
    </row>
    <row r="861" spans="1:26" ht="15.5">
      <c r="A861" s="1"/>
      <c r="B861" s="1"/>
      <c r="C861" s="1"/>
      <c r="D861" s="1"/>
      <c r="E861" s="1"/>
      <c r="F861" s="1"/>
      <c r="G861" s="1"/>
      <c r="H861" s="49"/>
      <c r="I861" s="49"/>
      <c r="J861" s="49"/>
      <c r="K861" s="49"/>
      <c r="L861" s="49"/>
      <c r="M861" s="49"/>
      <c r="N861" s="49"/>
      <c r="O861" s="49"/>
      <c r="P861" s="49"/>
      <c r="Q861" s="49"/>
      <c r="R861" s="49"/>
      <c r="S861" s="49"/>
      <c r="T861" s="49"/>
      <c r="U861" s="49"/>
      <c r="V861" s="49"/>
      <c r="W861" s="49"/>
      <c r="X861" s="49"/>
      <c r="Y861" s="49"/>
      <c r="Z861" s="49"/>
    </row>
    <row r="862" spans="1:26" ht="15.5">
      <c r="A862" s="1"/>
      <c r="B862" s="1"/>
      <c r="C862" s="1"/>
      <c r="D862" s="1"/>
      <c r="E862" s="1"/>
      <c r="F862" s="1"/>
      <c r="G862" s="1"/>
      <c r="H862" s="49"/>
      <c r="I862" s="49"/>
      <c r="J862" s="49"/>
      <c r="K862" s="49"/>
      <c r="L862" s="49"/>
      <c r="M862" s="49"/>
      <c r="N862" s="49"/>
      <c r="O862" s="49"/>
      <c r="P862" s="49"/>
      <c r="Q862" s="49"/>
      <c r="R862" s="49"/>
      <c r="S862" s="49"/>
      <c r="T862" s="49"/>
      <c r="U862" s="49"/>
      <c r="V862" s="49"/>
      <c r="W862" s="49"/>
      <c r="X862" s="49"/>
      <c r="Y862" s="49"/>
      <c r="Z862" s="49"/>
    </row>
    <row r="863" spans="1:26" ht="15.5">
      <c r="A863" s="1"/>
      <c r="B863" s="1"/>
      <c r="C863" s="1"/>
      <c r="D863" s="1"/>
      <c r="E863" s="1"/>
      <c r="F863" s="1"/>
      <c r="G863" s="1"/>
      <c r="H863" s="49"/>
      <c r="I863" s="49"/>
      <c r="J863" s="49"/>
      <c r="K863" s="49"/>
      <c r="L863" s="49"/>
      <c r="M863" s="49"/>
      <c r="N863" s="49"/>
      <c r="O863" s="49"/>
      <c r="P863" s="49"/>
      <c r="Q863" s="49"/>
      <c r="R863" s="49"/>
      <c r="S863" s="49"/>
      <c r="T863" s="49"/>
      <c r="U863" s="49"/>
      <c r="V863" s="49"/>
      <c r="W863" s="49"/>
      <c r="X863" s="49"/>
      <c r="Y863" s="49"/>
      <c r="Z863" s="49"/>
    </row>
    <row r="864" spans="1:26" ht="15.5">
      <c r="A864" s="1"/>
      <c r="B864" s="1"/>
      <c r="C864" s="1"/>
      <c r="D864" s="1"/>
      <c r="E864" s="1"/>
      <c r="F864" s="1"/>
      <c r="G864" s="1"/>
      <c r="H864" s="49"/>
      <c r="I864" s="49"/>
      <c r="J864" s="49"/>
      <c r="K864" s="49"/>
      <c r="L864" s="49"/>
      <c r="M864" s="49"/>
      <c r="N864" s="49"/>
      <c r="O864" s="49"/>
      <c r="P864" s="49"/>
      <c r="Q864" s="49"/>
      <c r="R864" s="49"/>
      <c r="S864" s="49"/>
      <c r="T864" s="49"/>
      <c r="U864" s="49"/>
      <c r="V864" s="49"/>
      <c r="W864" s="49"/>
      <c r="X864" s="49"/>
      <c r="Y864" s="49"/>
      <c r="Z864" s="49"/>
    </row>
    <row r="865" spans="1:26" ht="15.5">
      <c r="A865" s="1"/>
      <c r="B865" s="1"/>
      <c r="C865" s="1"/>
      <c r="D865" s="1"/>
      <c r="E865" s="1"/>
      <c r="F865" s="1"/>
      <c r="G865" s="1"/>
      <c r="H865" s="49"/>
      <c r="I865" s="49"/>
      <c r="J865" s="49"/>
      <c r="K865" s="49"/>
      <c r="L865" s="49"/>
      <c r="M865" s="49"/>
      <c r="N865" s="49"/>
      <c r="O865" s="49"/>
      <c r="P865" s="49"/>
      <c r="Q865" s="49"/>
      <c r="R865" s="49"/>
      <c r="S865" s="49"/>
      <c r="T865" s="49"/>
      <c r="U865" s="49"/>
      <c r="V865" s="49"/>
      <c r="W865" s="49"/>
      <c r="X865" s="49"/>
      <c r="Y865" s="49"/>
      <c r="Z865" s="49"/>
    </row>
    <row r="866" spans="1:26" ht="15.5">
      <c r="A866" s="1"/>
      <c r="B866" s="1"/>
      <c r="C866" s="1"/>
      <c r="D866" s="1"/>
      <c r="E866" s="1"/>
      <c r="F866" s="1"/>
      <c r="G866" s="1"/>
      <c r="H866" s="49"/>
      <c r="I866" s="49"/>
      <c r="J866" s="49"/>
      <c r="K866" s="49"/>
      <c r="L866" s="49"/>
      <c r="M866" s="49"/>
      <c r="N866" s="49"/>
      <c r="O866" s="49"/>
      <c r="P866" s="49"/>
      <c r="Q866" s="49"/>
      <c r="R866" s="49"/>
      <c r="S866" s="49"/>
      <c r="T866" s="49"/>
      <c r="U866" s="49"/>
      <c r="V866" s="49"/>
      <c r="W866" s="49"/>
      <c r="X866" s="49"/>
      <c r="Y866" s="49"/>
      <c r="Z866" s="49"/>
    </row>
    <row r="867" spans="1:26" ht="15.5">
      <c r="A867" s="1"/>
      <c r="B867" s="1"/>
      <c r="C867" s="1"/>
      <c r="D867" s="1"/>
      <c r="E867" s="1"/>
      <c r="F867" s="1"/>
      <c r="G867" s="1"/>
      <c r="H867" s="49"/>
      <c r="I867" s="49"/>
      <c r="J867" s="49"/>
      <c r="K867" s="49"/>
      <c r="L867" s="49"/>
      <c r="M867" s="49"/>
      <c r="N867" s="49"/>
      <c r="O867" s="49"/>
      <c r="P867" s="49"/>
      <c r="Q867" s="49"/>
      <c r="R867" s="49"/>
      <c r="S867" s="49"/>
      <c r="T867" s="49"/>
      <c r="U867" s="49"/>
      <c r="V867" s="49"/>
      <c r="W867" s="49"/>
      <c r="X867" s="49"/>
      <c r="Y867" s="49"/>
      <c r="Z867" s="49"/>
    </row>
    <row r="868" spans="1:26" ht="15.5">
      <c r="A868" s="1"/>
      <c r="B868" s="1"/>
      <c r="C868" s="1"/>
      <c r="D868" s="1"/>
      <c r="E868" s="1"/>
      <c r="F868" s="1"/>
      <c r="G868" s="1"/>
      <c r="H868" s="49"/>
      <c r="I868" s="49"/>
      <c r="J868" s="49"/>
      <c r="K868" s="49"/>
      <c r="L868" s="49"/>
      <c r="M868" s="49"/>
      <c r="N868" s="49"/>
      <c r="O868" s="49"/>
      <c r="P868" s="49"/>
      <c r="Q868" s="49"/>
      <c r="R868" s="49"/>
      <c r="S868" s="49"/>
      <c r="T868" s="49"/>
      <c r="U868" s="49"/>
      <c r="V868" s="49"/>
      <c r="W868" s="49"/>
      <c r="X868" s="49"/>
      <c r="Y868" s="49"/>
      <c r="Z868" s="49"/>
    </row>
    <row r="869" spans="1:26" ht="15.5">
      <c r="A869" s="1"/>
      <c r="B869" s="1"/>
      <c r="C869" s="1"/>
      <c r="D869" s="1"/>
      <c r="E869" s="1"/>
      <c r="F869" s="1"/>
      <c r="G869" s="1"/>
      <c r="H869" s="49"/>
      <c r="I869" s="49"/>
      <c r="J869" s="49"/>
      <c r="K869" s="49"/>
      <c r="L869" s="49"/>
      <c r="M869" s="49"/>
      <c r="N869" s="49"/>
      <c r="O869" s="49"/>
      <c r="P869" s="49"/>
      <c r="Q869" s="49"/>
      <c r="R869" s="49"/>
      <c r="S869" s="49"/>
      <c r="T869" s="49"/>
      <c r="U869" s="49"/>
      <c r="V869" s="49"/>
      <c r="W869" s="49"/>
      <c r="X869" s="49"/>
      <c r="Y869" s="49"/>
      <c r="Z869" s="49"/>
    </row>
    <row r="870" spans="1:26" ht="15.5">
      <c r="A870" s="1"/>
      <c r="B870" s="1"/>
      <c r="C870" s="1"/>
      <c r="D870" s="1"/>
      <c r="E870" s="1"/>
      <c r="F870" s="1"/>
      <c r="G870" s="1"/>
      <c r="H870" s="49"/>
      <c r="I870" s="49"/>
      <c r="J870" s="49"/>
      <c r="K870" s="49"/>
      <c r="L870" s="49"/>
      <c r="M870" s="49"/>
      <c r="N870" s="49"/>
      <c r="O870" s="49"/>
      <c r="P870" s="49"/>
      <c r="Q870" s="49"/>
      <c r="R870" s="49"/>
      <c r="S870" s="49"/>
      <c r="T870" s="49"/>
      <c r="U870" s="49"/>
      <c r="V870" s="49"/>
      <c r="W870" s="49"/>
      <c r="X870" s="49"/>
      <c r="Y870" s="49"/>
      <c r="Z870" s="49"/>
    </row>
    <row r="871" spans="1:26" ht="15.5">
      <c r="A871" s="1"/>
      <c r="B871" s="1"/>
      <c r="C871" s="1"/>
      <c r="D871" s="1"/>
      <c r="E871" s="1"/>
      <c r="F871" s="1"/>
      <c r="G871" s="1"/>
      <c r="H871" s="49"/>
      <c r="I871" s="49"/>
      <c r="J871" s="49"/>
      <c r="K871" s="49"/>
      <c r="L871" s="49"/>
      <c r="M871" s="49"/>
      <c r="N871" s="49"/>
      <c r="O871" s="49"/>
      <c r="P871" s="49"/>
      <c r="Q871" s="49"/>
      <c r="R871" s="49"/>
      <c r="S871" s="49"/>
      <c r="T871" s="49"/>
      <c r="U871" s="49"/>
      <c r="V871" s="49"/>
      <c r="W871" s="49"/>
      <c r="X871" s="49"/>
      <c r="Y871" s="49"/>
      <c r="Z871" s="49"/>
    </row>
    <row r="872" spans="1:26" ht="15.5">
      <c r="A872" s="1"/>
      <c r="B872" s="1"/>
      <c r="C872" s="1"/>
      <c r="D872" s="1"/>
      <c r="E872" s="1"/>
      <c r="F872" s="1"/>
      <c r="G872" s="1"/>
      <c r="H872" s="49"/>
      <c r="I872" s="49"/>
      <c r="J872" s="49"/>
      <c r="K872" s="49"/>
      <c r="L872" s="49"/>
      <c r="M872" s="49"/>
      <c r="N872" s="49"/>
      <c r="O872" s="49"/>
      <c r="P872" s="49"/>
      <c r="Q872" s="49"/>
      <c r="R872" s="49"/>
      <c r="S872" s="49"/>
      <c r="T872" s="49"/>
      <c r="U872" s="49"/>
      <c r="V872" s="49"/>
      <c r="W872" s="49"/>
      <c r="X872" s="49"/>
      <c r="Y872" s="49"/>
      <c r="Z872" s="49"/>
    </row>
    <row r="873" spans="1:26" ht="15.5">
      <c r="A873" s="1"/>
      <c r="B873" s="1"/>
      <c r="C873" s="1"/>
      <c r="D873" s="1"/>
      <c r="E873" s="1"/>
      <c r="F873" s="1"/>
      <c r="G873" s="1"/>
      <c r="H873" s="49"/>
      <c r="I873" s="49"/>
      <c r="J873" s="49"/>
      <c r="K873" s="49"/>
      <c r="L873" s="49"/>
      <c r="M873" s="49"/>
      <c r="N873" s="49"/>
      <c r="O873" s="49"/>
      <c r="P873" s="49"/>
      <c r="Q873" s="49"/>
      <c r="R873" s="49"/>
      <c r="S873" s="49"/>
      <c r="T873" s="49"/>
      <c r="U873" s="49"/>
      <c r="V873" s="49"/>
      <c r="W873" s="49"/>
      <c r="X873" s="49"/>
      <c r="Y873" s="49"/>
      <c r="Z873" s="49"/>
    </row>
    <row r="874" spans="1:26" ht="15.5">
      <c r="A874" s="1"/>
      <c r="B874" s="1"/>
      <c r="C874" s="1"/>
      <c r="D874" s="1"/>
      <c r="E874" s="1"/>
      <c r="F874" s="1"/>
      <c r="G874" s="1"/>
      <c r="H874" s="49"/>
      <c r="I874" s="49"/>
      <c r="J874" s="49"/>
      <c r="K874" s="49"/>
      <c r="L874" s="49"/>
      <c r="M874" s="49"/>
      <c r="N874" s="49"/>
      <c r="O874" s="49"/>
      <c r="P874" s="49"/>
      <c r="Q874" s="49"/>
      <c r="R874" s="49"/>
      <c r="S874" s="49"/>
      <c r="T874" s="49"/>
      <c r="U874" s="49"/>
      <c r="V874" s="49"/>
      <c r="W874" s="49"/>
      <c r="X874" s="49"/>
      <c r="Y874" s="49"/>
      <c r="Z874" s="49"/>
    </row>
    <row r="875" spans="1:26" ht="15.5">
      <c r="A875" s="1"/>
      <c r="B875" s="1"/>
      <c r="C875" s="1"/>
      <c r="D875" s="1"/>
      <c r="E875" s="1"/>
      <c r="F875" s="1"/>
      <c r="G875" s="1"/>
      <c r="H875" s="49"/>
      <c r="I875" s="49"/>
      <c r="J875" s="49"/>
      <c r="K875" s="49"/>
      <c r="L875" s="49"/>
      <c r="M875" s="49"/>
      <c r="N875" s="49"/>
      <c r="O875" s="49"/>
      <c r="P875" s="49"/>
      <c r="Q875" s="49"/>
      <c r="R875" s="49"/>
      <c r="S875" s="49"/>
      <c r="T875" s="49"/>
      <c r="U875" s="49"/>
      <c r="V875" s="49"/>
      <c r="W875" s="49"/>
      <c r="X875" s="49"/>
      <c r="Y875" s="49"/>
      <c r="Z875" s="49"/>
    </row>
    <row r="876" spans="1:26" ht="15.5">
      <c r="A876" s="1"/>
      <c r="B876" s="1"/>
      <c r="C876" s="1"/>
      <c r="D876" s="1"/>
      <c r="E876" s="1"/>
      <c r="F876" s="1"/>
      <c r="G876" s="1"/>
      <c r="H876" s="49"/>
      <c r="I876" s="49"/>
      <c r="J876" s="49"/>
      <c r="K876" s="49"/>
      <c r="L876" s="49"/>
      <c r="M876" s="49"/>
      <c r="N876" s="49"/>
      <c r="O876" s="49"/>
      <c r="P876" s="49"/>
      <c r="Q876" s="49"/>
      <c r="R876" s="49"/>
      <c r="S876" s="49"/>
      <c r="T876" s="49"/>
      <c r="U876" s="49"/>
      <c r="V876" s="49"/>
      <c r="W876" s="49"/>
      <c r="X876" s="49"/>
      <c r="Y876" s="49"/>
      <c r="Z876" s="49"/>
    </row>
    <row r="877" spans="1:26" ht="15.5">
      <c r="A877" s="1"/>
      <c r="B877" s="1"/>
      <c r="C877" s="1"/>
      <c r="D877" s="1"/>
      <c r="E877" s="1"/>
      <c r="F877" s="1"/>
      <c r="G877" s="1"/>
      <c r="H877" s="49"/>
      <c r="I877" s="49"/>
      <c r="J877" s="49"/>
      <c r="K877" s="49"/>
      <c r="L877" s="49"/>
      <c r="M877" s="49"/>
      <c r="N877" s="49"/>
      <c r="O877" s="49"/>
      <c r="P877" s="49"/>
      <c r="Q877" s="49"/>
      <c r="R877" s="49"/>
      <c r="S877" s="49"/>
      <c r="T877" s="49"/>
      <c r="U877" s="49"/>
      <c r="V877" s="49"/>
      <c r="W877" s="49"/>
      <c r="X877" s="49"/>
      <c r="Y877" s="49"/>
      <c r="Z877" s="49"/>
    </row>
    <row r="878" spans="1:26" ht="15.5">
      <c r="A878" s="1"/>
      <c r="B878" s="1"/>
      <c r="C878" s="1"/>
      <c r="D878" s="1"/>
      <c r="E878" s="1"/>
      <c r="F878" s="1"/>
      <c r="G878" s="1"/>
      <c r="H878" s="49"/>
      <c r="I878" s="49"/>
      <c r="J878" s="49"/>
      <c r="K878" s="49"/>
      <c r="L878" s="49"/>
      <c r="M878" s="49"/>
      <c r="N878" s="49"/>
      <c r="O878" s="49"/>
      <c r="P878" s="49"/>
      <c r="Q878" s="49"/>
      <c r="R878" s="49"/>
      <c r="S878" s="49"/>
      <c r="T878" s="49"/>
      <c r="U878" s="49"/>
      <c r="V878" s="49"/>
      <c r="W878" s="49"/>
      <c r="X878" s="49"/>
      <c r="Y878" s="49"/>
      <c r="Z878" s="49"/>
    </row>
    <row r="879" spans="1:26" ht="15.5">
      <c r="A879" s="1"/>
      <c r="B879" s="1"/>
      <c r="C879" s="1"/>
      <c r="D879" s="1"/>
      <c r="E879" s="1"/>
      <c r="F879" s="1"/>
      <c r="G879" s="1"/>
      <c r="H879" s="49"/>
      <c r="I879" s="49"/>
      <c r="J879" s="49"/>
      <c r="K879" s="49"/>
      <c r="L879" s="49"/>
      <c r="M879" s="49"/>
      <c r="N879" s="49"/>
      <c r="O879" s="49"/>
      <c r="P879" s="49"/>
      <c r="Q879" s="49"/>
      <c r="R879" s="49"/>
      <c r="S879" s="49"/>
      <c r="T879" s="49"/>
      <c r="U879" s="49"/>
      <c r="V879" s="49"/>
      <c r="W879" s="49"/>
      <c r="X879" s="49"/>
      <c r="Y879" s="49"/>
      <c r="Z879" s="49"/>
    </row>
    <row r="880" spans="1:26" ht="15.5">
      <c r="A880" s="1"/>
      <c r="B880" s="1"/>
      <c r="C880" s="1"/>
      <c r="D880" s="1"/>
      <c r="E880" s="1"/>
      <c r="F880" s="1"/>
      <c r="G880" s="1"/>
      <c r="H880" s="49"/>
      <c r="I880" s="49"/>
      <c r="J880" s="49"/>
      <c r="K880" s="49"/>
      <c r="L880" s="49"/>
      <c r="M880" s="49"/>
      <c r="N880" s="49"/>
      <c r="O880" s="49"/>
      <c r="P880" s="49"/>
      <c r="Q880" s="49"/>
      <c r="R880" s="49"/>
      <c r="S880" s="49"/>
      <c r="T880" s="49"/>
      <c r="U880" s="49"/>
      <c r="V880" s="49"/>
      <c r="W880" s="49"/>
      <c r="X880" s="49"/>
      <c r="Y880" s="49"/>
      <c r="Z880" s="49"/>
    </row>
    <row r="881" spans="1:26" ht="15.5">
      <c r="A881" s="1"/>
      <c r="B881" s="1"/>
      <c r="C881" s="1"/>
      <c r="D881" s="1"/>
      <c r="E881" s="1"/>
      <c r="F881" s="1"/>
      <c r="G881" s="1"/>
      <c r="H881" s="49"/>
      <c r="I881" s="49"/>
      <c r="J881" s="49"/>
      <c r="K881" s="49"/>
      <c r="L881" s="49"/>
      <c r="M881" s="49"/>
      <c r="N881" s="49"/>
      <c r="O881" s="49"/>
      <c r="P881" s="49"/>
      <c r="Q881" s="49"/>
      <c r="R881" s="49"/>
      <c r="S881" s="49"/>
      <c r="T881" s="49"/>
      <c r="U881" s="49"/>
      <c r="V881" s="49"/>
      <c r="W881" s="49"/>
      <c r="X881" s="49"/>
      <c r="Y881" s="49"/>
      <c r="Z881" s="49"/>
    </row>
    <row r="882" spans="1:26" ht="15.5">
      <c r="A882" s="1"/>
      <c r="B882" s="1"/>
      <c r="C882" s="1"/>
      <c r="D882" s="1"/>
      <c r="E882" s="1"/>
      <c r="F882" s="1"/>
      <c r="G882" s="1"/>
      <c r="H882" s="49"/>
      <c r="I882" s="49"/>
      <c r="J882" s="49"/>
      <c r="K882" s="49"/>
      <c r="L882" s="49"/>
      <c r="M882" s="49"/>
      <c r="N882" s="49"/>
      <c r="O882" s="49"/>
      <c r="P882" s="49"/>
      <c r="Q882" s="49"/>
      <c r="R882" s="49"/>
      <c r="S882" s="49"/>
      <c r="T882" s="49"/>
      <c r="U882" s="49"/>
      <c r="V882" s="49"/>
      <c r="W882" s="49"/>
      <c r="X882" s="49"/>
      <c r="Y882" s="49"/>
      <c r="Z882" s="49"/>
    </row>
    <row r="883" spans="1:26" ht="15.5">
      <c r="A883" s="1"/>
      <c r="B883" s="1"/>
      <c r="C883" s="1"/>
      <c r="D883" s="1"/>
      <c r="E883" s="1"/>
      <c r="F883" s="1"/>
      <c r="G883" s="1"/>
      <c r="H883" s="49"/>
      <c r="I883" s="49"/>
      <c r="J883" s="49"/>
      <c r="K883" s="49"/>
      <c r="L883" s="49"/>
      <c r="M883" s="49"/>
      <c r="N883" s="49"/>
      <c r="O883" s="49"/>
      <c r="P883" s="49"/>
      <c r="Q883" s="49"/>
      <c r="R883" s="49"/>
      <c r="S883" s="49"/>
      <c r="T883" s="49"/>
      <c r="U883" s="49"/>
      <c r="V883" s="49"/>
      <c r="W883" s="49"/>
      <c r="X883" s="49"/>
      <c r="Y883" s="49"/>
      <c r="Z883" s="49"/>
    </row>
    <row r="884" spans="1:26" ht="15.5">
      <c r="A884" s="1"/>
      <c r="B884" s="1"/>
      <c r="C884" s="1"/>
      <c r="D884" s="1"/>
      <c r="E884" s="1"/>
      <c r="F884" s="1"/>
      <c r="G884" s="1"/>
      <c r="H884" s="49"/>
      <c r="I884" s="49"/>
      <c r="J884" s="49"/>
      <c r="K884" s="49"/>
      <c r="L884" s="49"/>
      <c r="M884" s="49"/>
      <c r="N884" s="49"/>
      <c r="O884" s="49"/>
      <c r="P884" s="49"/>
      <c r="Q884" s="49"/>
      <c r="R884" s="49"/>
      <c r="S884" s="49"/>
      <c r="T884" s="49"/>
      <c r="U884" s="49"/>
      <c r="V884" s="49"/>
      <c r="W884" s="49"/>
      <c r="X884" s="49"/>
      <c r="Y884" s="49"/>
      <c r="Z884" s="49"/>
    </row>
    <row r="885" spans="1:26" ht="15.5">
      <c r="A885" s="1"/>
      <c r="B885" s="1"/>
      <c r="C885" s="1"/>
      <c r="D885" s="1"/>
      <c r="E885" s="1"/>
      <c r="F885" s="1"/>
      <c r="G885" s="1"/>
      <c r="H885" s="49"/>
      <c r="I885" s="49"/>
      <c r="J885" s="49"/>
      <c r="K885" s="49"/>
      <c r="L885" s="49"/>
      <c r="M885" s="49"/>
      <c r="N885" s="49"/>
      <c r="O885" s="49"/>
      <c r="P885" s="49"/>
      <c r="Q885" s="49"/>
      <c r="R885" s="49"/>
      <c r="S885" s="49"/>
      <c r="T885" s="49"/>
      <c r="U885" s="49"/>
      <c r="V885" s="49"/>
      <c r="W885" s="49"/>
      <c r="X885" s="49"/>
      <c r="Y885" s="49"/>
      <c r="Z885" s="49"/>
    </row>
    <row r="886" spans="1:26" ht="15.5">
      <c r="A886" s="1"/>
      <c r="B886" s="1"/>
      <c r="C886" s="1"/>
      <c r="D886" s="1"/>
      <c r="E886" s="1"/>
      <c r="F886" s="1"/>
      <c r="G886" s="1"/>
      <c r="H886" s="49"/>
      <c r="I886" s="49"/>
      <c r="J886" s="49"/>
      <c r="K886" s="49"/>
      <c r="L886" s="49"/>
      <c r="M886" s="49"/>
      <c r="N886" s="49"/>
      <c r="O886" s="49"/>
      <c r="P886" s="49"/>
      <c r="Q886" s="49"/>
      <c r="R886" s="49"/>
      <c r="S886" s="49"/>
      <c r="T886" s="49"/>
      <c r="U886" s="49"/>
      <c r="V886" s="49"/>
      <c r="W886" s="49"/>
      <c r="X886" s="49"/>
      <c r="Y886" s="49"/>
      <c r="Z886" s="49"/>
    </row>
    <row r="887" spans="1:26" ht="15.5">
      <c r="A887" s="1"/>
      <c r="B887" s="1"/>
      <c r="C887" s="1"/>
      <c r="D887" s="1"/>
      <c r="E887" s="1"/>
      <c r="F887" s="1"/>
      <c r="G887" s="1"/>
      <c r="H887" s="49"/>
      <c r="I887" s="49"/>
      <c r="J887" s="49"/>
      <c r="K887" s="49"/>
      <c r="L887" s="49"/>
      <c r="M887" s="49"/>
      <c r="N887" s="49"/>
      <c r="O887" s="49"/>
      <c r="P887" s="49"/>
      <c r="Q887" s="49"/>
      <c r="R887" s="49"/>
      <c r="S887" s="49"/>
      <c r="T887" s="49"/>
      <c r="U887" s="49"/>
      <c r="V887" s="49"/>
      <c r="W887" s="49"/>
      <c r="X887" s="49"/>
      <c r="Y887" s="49"/>
      <c r="Z887" s="49"/>
    </row>
    <row r="888" spans="1:26" ht="15.5">
      <c r="A888" s="1"/>
      <c r="B888" s="1"/>
      <c r="C888" s="1"/>
      <c r="D888" s="1"/>
      <c r="E888" s="1"/>
      <c r="F888" s="1"/>
      <c r="G888" s="1"/>
      <c r="H888" s="49"/>
      <c r="I888" s="49"/>
      <c r="J888" s="49"/>
      <c r="K888" s="49"/>
      <c r="L888" s="49"/>
      <c r="M888" s="49"/>
      <c r="N888" s="49"/>
      <c r="O888" s="49"/>
      <c r="P888" s="49"/>
      <c r="Q888" s="49"/>
      <c r="R888" s="49"/>
      <c r="S888" s="49"/>
      <c r="T888" s="49"/>
      <c r="U888" s="49"/>
      <c r="V888" s="49"/>
      <c r="W888" s="49"/>
      <c r="X888" s="49"/>
      <c r="Y888" s="49"/>
      <c r="Z888" s="49"/>
    </row>
    <row r="889" spans="1:26" ht="15.5">
      <c r="A889" s="1"/>
      <c r="B889" s="1"/>
      <c r="C889" s="1"/>
      <c r="D889" s="1"/>
      <c r="E889" s="1"/>
      <c r="F889" s="1"/>
      <c r="G889" s="1"/>
      <c r="H889" s="49"/>
      <c r="I889" s="49"/>
      <c r="J889" s="49"/>
      <c r="K889" s="49"/>
      <c r="L889" s="49"/>
      <c r="M889" s="49"/>
      <c r="N889" s="49"/>
      <c r="O889" s="49"/>
      <c r="P889" s="49"/>
      <c r="Q889" s="49"/>
      <c r="R889" s="49"/>
      <c r="S889" s="49"/>
      <c r="T889" s="49"/>
      <c r="U889" s="49"/>
      <c r="V889" s="49"/>
      <c r="W889" s="49"/>
      <c r="X889" s="49"/>
      <c r="Y889" s="49"/>
      <c r="Z889" s="49"/>
    </row>
    <row r="890" spans="1:26" ht="15.5">
      <c r="A890" s="1"/>
      <c r="B890" s="1"/>
      <c r="C890" s="1"/>
      <c r="D890" s="1"/>
      <c r="E890" s="1"/>
      <c r="F890" s="1"/>
      <c r="G890" s="1"/>
      <c r="H890" s="49"/>
      <c r="I890" s="49"/>
      <c r="J890" s="49"/>
      <c r="K890" s="49"/>
      <c r="L890" s="49"/>
      <c r="M890" s="49"/>
      <c r="N890" s="49"/>
      <c r="O890" s="49"/>
      <c r="P890" s="49"/>
      <c r="Q890" s="49"/>
      <c r="R890" s="49"/>
      <c r="S890" s="49"/>
      <c r="T890" s="49"/>
      <c r="U890" s="49"/>
      <c r="V890" s="49"/>
      <c r="W890" s="49"/>
      <c r="X890" s="49"/>
      <c r="Y890" s="49"/>
      <c r="Z890" s="49"/>
    </row>
    <row r="891" spans="1:26" ht="15.5">
      <c r="A891" s="1"/>
      <c r="B891" s="1"/>
      <c r="C891" s="1"/>
      <c r="D891" s="1"/>
      <c r="E891" s="1"/>
      <c r="F891" s="1"/>
      <c r="G891" s="1"/>
      <c r="H891" s="49"/>
      <c r="I891" s="49"/>
      <c r="J891" s="49"/>
      <c r="K891" s="49"/>
      <c r="L891" s="49"/>
      <c r="M891" s="49"/>
      <c r="N891" s="49"/>
      <c r="O891" s="49"/>
      <c r="P891" s="49"/>
      <c r="Q891" s="49"/>
      <c r="R891" s="49"/>
      <c r="S891" s="49"/>
      <c r="T891" s="49"/>
      <c r="U891" s="49"/>
      <c r="V891" s="49"/>
      <c r="W891" s="49"/>
      <c r="X891" s="49"/>
      <c r="Y891" s="49"/>
      <c r="Z891" s="49"/>
    </row>
    <row r="892" spans="1:26" ht="15.5">
      <c r="A892" s="1"/>
      <c r="B892" s="1"/>
      <c r="C892" s="1"/>
      <c r="D892" s="1"/>
      <c r="E892" s="1"/>
      <c r="F892" s="1"/>
      <c r="G892" s="1"/>
      <c r="H892" s="49"/>
      <c r="I892" s="49"/>
      <c r="J892" s="49"/>
      <c r="K892" s="49"/>
      <c r="L892" s="49"/>
      <c r="M892" s="49"/>
      <c r="N892" s="49"/>
      <c r="O892" s="49"/>
      <c r="P892" s="49"/>
      <c r="Q892" s="49"/>
      <c r="R892" s="49"/>
      <c r="S892" s="49"/>
      <c r="T892" s="49"/>
      <c r="U892" s="49"/>
      <c r="V892" s="49"/>
      <c r="W892" s="49"/>
      <c r="X892" s="49"/>
      <c r="Y892" s="49"/>
      <c r="Z892" s="49"/>
    </row>
    <row r="893" spans="1:26" ht="15.5">
      <c r="A893" s="1"/>
      <c r="B893" s="1"/>
      <c r="C893" s="1"/>
      <c r="D893" s="1"/>
      <c r="E893" s="1"/>
      <c r="F893" s="1"/>
      <c r="G893" s="1"/>
      <c r="H893" s="49"/>
      <c r="I893" s="49"/>
      <c r="J893" s="49"/>
      <c r="K893" s="49"/>
      <c r="L893" s="49"/>
      <c r="M893" s="49"/>
      <c r="N893" s="49"/>
      <c r="O893" s="49"/>
      <c r="P893" s="49"/>
      <c r="Q893" s="49"/>
      <c r="R893" s="49"/>
      <c r="S893" s="49"/>
      <c r="T893" s="49"/>
      <c r="U893" s="49"/>
      <c r="V893" s="49"/>
      <c r="W893" s="49"/>
      <c r="X893" s="49"/>
      <c r="Y893" s="49"/>
      <c r="Z893" s="49"/>
    </row>
    <row r="894" spans="1:26" ht="15.5">
      <c r="A894" s="1"/>
      <c r="B894" s="1"/>
      <c r="C894" s="1"/>
      <c r="D894" s="1"/>
      <c r="E894" s="1"/>
      <c r="F894" s="1"/>
      <c r="G894" s="1"/>
      <c r="H894" s="49"/>
      <c r="I894" s="49"/>
      <c r="J894" s="49"/>
      <c r="K894" s="49"/>
      <c r="L894" s="49"/>
      <c r="M894" s="49"/>
      <c r="N894" s="49"/>
      <c r="O894" s="49"/>
      <c r="P894" s="49"/>
      <c r="Q894" s="49"/>
      <c r="R894" s="49"/>
      <c r="S894" s="49"/>
      <c r="T894" s="49"/>
      <c r="U894" s="49"/>
      <c r="V894" s="49"/>
      <c r="W894" s="49"/>
      <c r="X894" s="49"/>
      <c r="Y894" s="49"/>
      <c r="Z894" s="49"/>
    </row>
    <row r="895" spans="1:26" ht="15.5">
      <c r="A895" s="1"/>
      <c r="B895" s="1"/>
      <c r="C895" s="1"/>
      <c r="D895" s="1"/>
      <c r="E895" s="1"/>
      <c r="F895" s="1"/>
      <c r="G895" s="1"/>
      <c r="H895" s="49"/>
      <c r="I895" s="49"/>
      <c r="J895" s="49"/>
      <c r="K895" s="49"/>
      <c r="L895" s="49"/>
      <c r="M895" s="49"/>
      <c r="N895" s="49"/>
      <c r="O895" s="49"/>
      <c r="P895" s="49"/>
      <c r="Q895" s="49"/>
      <c r="R895" s="49"/>
      <c r="S895" s="49"/>
      <c r="T895" s="49"/>
      <c r="U895" s="49"/>
      <c r="V895" s="49"/>
      <c r="W895" s="49"/>
      <c r="X895" s="49"/>
      <c r="Y895" s="49"/>
      <c r="Z895" s="49"/>
    </row>
    <row r="896" spans="1:26" ht="15.5">
      <c r="A896" s="1"/>
      <c r="B896" s="1"/>
      <c r="C896" s="1"/>
      <c r="D896" s="1"/>
      <c r="E896" s="1"/>
      <c r="F896" s="1"/>
      <c r="G896" s="1"/>
      <c r="H896" s="49"/>
      <c r="I896" s="49"/>
      <c r="J896" s="49"/>
      <c r="K896" s="49"/>
      <c r="L896" s="49"/>
      <c r="M896" s="49"/>
      <c r="N896" s="49"/>
      <c r="O896" s="49"/>
      <c r="P896" s="49"/>
      <c r="Q896" s="49"/>
      <c r="R896" s="49"/>
      <c r="S896" s="49"/>
      <c r="T896" s="49"/>
      <c r="U896" s="49"/>
      <c r="V896" s="49"/>
      <c r="W896" s="49"/>
      <c r="X896" s="49"/>
      <c r="Y896" s="49"/>
      <c r="Z896" s="49"/>
    </row>
    <row r="897" spans="1:26" ht="15.5">
      <c r="A897" s="1"/>
      <c r="B897" s="1"/>
      <c r="C897" s="1"/>
      <c r="D897" s="1"/>
      <c r="E897" s="1"/>
      <c r="F897" s="1"/>
      <c r="G897" s="1"/>
      <c r="H897" s="49"/>
      <c r="I897" s="49"/>
      <c r="J897" s="49"/>
      <c r="K897" s="49"/>
      <c r="L897" s="49"/>
      <c r="M897" s="49"/>
      <c r="N897" s="49"/>
      <c r="O897" s="49"/>
      <c r="P897" s="49"/>
      <c r="Q897" s="49"/>
      <c r="R897" s="49"/>
      <c r="S897" s="49"/>
      <c r="T897" s="49"/>
      <c r="U897" s="49"/>
      <c r="V897" s="49"/>
      <c r="W897" s="49"/>
      <c r="X897" s="49"/>
      <c r="Y897" s="49"/>
      <c r="Z897" s="49"/>
    </row>
    <row r="898" spans="1:26" ht="15.5">
      <c r="A898" s="1"/>
      <c r="B898" s="1"/>
      <c r="C898" s="1"/>
      <c r="D898" s="1"/>
      <c r="E898" s="1"/>
      <c r="F898" s="1"/>
      <c r="G898" s="1"/>
      <c r="H898" s="49"/>
      <c r="I898" s="49"/>
      <c r="J898" s="49"/>
      <c r="K898" s="49"/>
      <c r="L898" s="49"/>
      <c r="M898" s="49"/>
      <c r="N898" s="49"/>
      <c r="O898" s="49"/>
      <c r="P898" s="49"/>
      <c r="Q898" s="49"/>
      <c r="R898" s="49"/>
      <c r="S898" s="49"/>
      <c r="T898" s="49"/>
      <c r="U898" s="49"/>
      <c r="V898" s="49"/>
      <c r="W898" s="49"/>
      <c r="X898" s="49"/>
      <c r="Y898" s="49"/>
      <c r="Z898" s="49"/>
    </row>
    <row r="899" spans="1:26" ht="15.5">
      <c r="A899" s="1"/>
      <c r="B899" s="1"/>
      <c r="C899" s="1"/>
      <c r="D899" s="1"/>
      <c r="E899" s="1"/>
      <c r="F899" s="1"/>
      <c r="G899" s="1"/>
      <c r="H899" s="49"/>
      <c r="I899" s="49"/>
      <c r="J899" s="49"/>
      <c r="K899" s="49"/>
      <c r="L899" s="49"/>
      <c r="M899" s="49"/>
      <c r="N899" s="49"/>
      <c r="O899" s="49"/>
      <c r="P899" s="49"/>
      <c r="Q899" s="49"/>
      <c r="R899" s="49"/>
      <c r="S899" s="49"/>
      <c r="T899" s="49"/>
      <c r="U899" s="49"/>
      <c r="V899" s="49"/>
      <c r="W899" s="49"/>
      <c r="X899" s="49"/>
      <c r="Y899" s="49"/>
      <c r="Z899" s="49"/>
    </row>
    <row r="900" spans="1:26" ht="15.5">
      <c r="A900" s="1"/>
      <c r="B900" s="1"/>
      <c r="C900" s="1"/>
      <c r="D900" s="1"/>
      <c r="E900" s="1"/>
      <c r="F900" s="1"/>
      <c r="G900" s="1"/>
      <c r="H900" s="49"/>
      <c r="I900" s="49"/>
      <c r="J900" s="49"/>
      <c r="K900" s="49"/>
      <c r="L900" s="49"/>
      <c r="M900" s="49"/>
      <c r="N900" s="49"/>
      <c r="O900" s="49"/>
      <c r="P900" s="49"/>
      <c r="Q900" s="49"/>
      <c r="R900" s="49"/>
      <c r="S900" s="49"/>
      <c r="T900" s="49"/>
      <c r="U900" s="49"/>
      <c r="V900" s="49"/>
      <c r="W900" s="49"/>
      <c r="X900" s="49"/>
      <c r="Y900" s="49"/>
      <c r="Z900" s="49"/>
    </row>
    <row r="901" spans="1:26" ht="15.5">
      <c r="A901" s="1"/>
      <c r="B901" s="1"/>
      <c r="C901" s="1"/>
      <c r="D901" s="1"/>
      <c r="E901" s="1"/>
      <c r="F901" s="1"/>
      <c r="G901" s="1"/>
      <c r="H901" s="49"/>
      <c r="I901" s="49"/>
      <c r="J901" s="49"/>
      <c r="K901" s="49"/>
      <c r="L901" s="49"/>
      <c r="M901" s="49"/>
      <c r="N901" s="49"/>
      <c r="O901" s="49"/>
      <c r="P901" s="49"/>
      <c r="Q901" s="49"/>
      <c r="R901" s="49"/>
      <c r="S901" s="49"/>
      <c r="T901" s="49"/>
      <c r="U901" s="49"/>
      <c r="V901" s="49"/>
      <c r="W901" s="49"/>
      <c r="X901" s="49"/>
      <c r="Y901" s="49"/>
      <c r="Z901" s="49"/>
    </row>
    <row r="902" spans="1:26" ht="15.5">
      <c r="A902" s="1"/>
      <c r="B902" s="1"/>
      <c r="C902" s="1"/>
      <c r="D902" s="1"/>
      <c r="E902" s="1"/>
      <c r="F902" s="1"/>
      <c r="G902" s="1"/>
      <c r="H902" s="49"/>
      <c r="I902" s="49"/>
      <c r="J902" s="49"/>
      <c r="K902" s="49"/>
      <c r="L902" s="49"/>
      <c r="M902" s="49"/>
      <c r="N902" s="49"/>
      <c r="O902" s="49"/>
      <c r="P902" s="49"/>
      <c r="Q902" s="49"/>
      <c r="R902" s="49"/>
      <c r="S902" s="49"/>
      <c r="T902" s="49"/>
      <c r="U902" s="49"/>
      <c r="V902" s="49"/>
      <c r="W902" s="49"/>
      <c r="X902" s="49"/>
      <c r="Y902" s="49"/>
      <c r="Z902" s="49"/>
    </row>
    <row r="903" spans="1:26" ht="15.5">
      <c r="A903" s="1"/>
      <c r="B903" s="1"/>
      <c r="C903" s="1"/>
      <c r="D903" s="1"/>
      <c r="E903" s="1"/>
      <c r="F903" s="1"/>
      <c r="G903" s="1"/>
      <c r="H903" s="49"/>
      <c r="I903" s="49"/>
      <c r="J903" s="49"/>
      <c r="K903" s="49"/>
      <c r="L903" s="49"/>
      <c r="M903" s="49"/>
      <c r="N903" s="49"/>
      <c r="O903" s="49"/>
      <c r="P903" s="49"/>
      <c r="Q903" s="49"/>
      <c r="R903" s="49"/>
      <c r="S903" s="49"/>
      <c r="T903" s="49"/>
      <c r="U903" s="49"/>
      <c r="V903" s="49"/>
      <c r="W903" s="49"/>
      <c r="X903" s="49"/>
      <c r="Y903" s="49"/>
      <c r="Z903" s="49"/>
    </row>
    <row r="904" spans="1:26" ht="15.5">
      <c r="A904" s="1"/>
      <c r="B904" s="1"/>
      <c r="C904" s="1"/>
      <c r="D904" s="1"/>
      <c r="E904" s="1"/>
      <c r="F904" s="1"/>
      <c r="G904" s="1"/>
      <c r="H904" s="49"/>
      <c r="I904" s="49"/>
      <c r="J904" s="49"/>
      <c r="K904" s="49"/>
      <c r="L904" s="49"/>
      <c r="M904" s="49"/>
      <c r="N904" s="49"/>
      <c r="O904" s="49"/>
      <c r="P904" s="49"/>
      <c r="Q904" s="49"/>
      <c r="R904" s="49"/>
      <c r="S904" s="49"/>
      <c r="T904" s="49"/>
      <c r="U904" s="49"/>
      <c r="V904" s="49"/>
      <c r="W904" s="49"/>
      <c r="X904" s="49"/>
      <c r="Y904" s="49"/>
      <c r="Z904" s="49"/>
    </row>
    <row r="905" spans="1:26" ht="15.5">
      <c r="A905" s="1"/>
      <c r="B905" s="1"/>
      <c r="C905" s="1"/>
      <c r="D905" s="1"/>
      <c r="E905" s="1"/>
      <c r="F905" s="1"/>
      <c r="G905" s="1"/>
      <c r="H905" s="49"/>
      <c r="I905" s="49"/>
      <c r="J905" s="49"/>
      <c r="K905" s="49"/>
      <c r="L905" s="49"/>
      <c r="M905" s="49"/>
      <c r="N905" s="49"/>
      <c r="O905" s="49"/>
      <c r="P905" s="49"/>
      <c r="Q905" s="49"/>
      <c r="R905" s="49"/>
      <c r="S905" s="49"/>
      <c r="T905" s="49"/>
      <c r="U905" s="49"/>
      <c r="V905" s="49"/>
      <c r="W905" s="49"/>
      <c r="X905" s="49"/>
      <c r="Y905" s="49"/>
      <c r="Z905" s="49"/>
    </row>
    <row r="906" spans="1:26" ht="15.5">
      <c r="A906" s="1"/>
      <c r="B906" s="1"/>
      <c r="C906" s="1"/>
      <c r="D906" s="1"/>
      <c r="E906" s="1"/>
      <c r="F906" s="1"/>
      <c r="G906" s="1"/>
      <c r="H906" s="49"/>
      <c r="I906" s="49"/>
      <c r="J906" s="49"/>
      <c r="K906" s="49"/>
      <c r="L906" s="49"/>
      <c r="M906" s="49"/>
      <c r="N906" s="49"/>
      <c r="O906" s="49"/>
      <c r="P906" s="49"/>
      <c r="Q906" s="49"/>
      <c r="R906" s="49"/>
      <c r="S906" s="49"/>
      <c r="T906" s="49"/>
      <c r="U906" s="49"/>
      <c r="V906" s="49"/>
      <c r="W906" s="49"/>
      <c r="X906" s="49"/>
      <c r="Y906" s="49"/>
      <c r="Z906" s="49"/>
    </row>
    <row r="907" spans="1:26" ht="15.5">
      <c r="A907" s="1"/>
      <c r="B907" s="1"/>
      <c r="C907" s="1"/>
      <c r="D907" s="1"/>
      <c r="E907" s="1"/>
      <c r="F907" s="1"/>
      <c r="G907" s="1"/>
      <c r="H907" s="49"/>
      <c r="I907" s="49"/>
      <c r="J907" s="49"/>
      <c r="K907" s="49"/>
      <c r="L907" s="49"/>
      <c r="M907" s="49"/>
      <c r="N907" s="49"/>
      <c r="O907" s="49"/>
      <c r="P907" s="49"/>
      <c r="Q907" s="49"/>
      <c r="R907" s="49"/>
      <c r="S907" s="49"/>
      <c r="T907" s="49"/>
      <c r="U907" s="49"/>
      <c r="V907" s="49"/>
      <c r="W907" s="49"/>
      <c r="X907" s="49"/>
      <c r="Y907" s="49"/>
      <c r="Z907" s="49"/>
    </row>
    <row r="908" spans="1:26" ht="15.5">
      <c r="A908" s="1"/>
      <c r="B908" s="1"/>
      <c r="C908" s="1"/>
      <c r="D908" s="1"/>
      <c r="E908" s="1"/>
      <c r="F908" s="1"/>
      <c r="G908" s="1"/>
      <c r="H908" s="49"/>
      <c r="I908" s="49"/>
      <c r="J908" s="49"/>
      <c r="K908" s="49"/>
      <c r="L908" s="49"/>
      <c r="M908" s="49"/>
      <c r="N908" s="49"/>
      <c r="O908" s="49"/>
      <c r="P908" s="49"/>
      <c r="Q908" s="49"/>
      <c r="R908" s="49"/>
      <c r="S908" s="49"/>
      <c r="T908" s="49"/>
      <c r="U908" s="49"/>
      <c r="V908" s="49"/>
      <c r="W908" s="49"/>
      <c r="X908" s="49"/>
      <c r="Y908" s="49"/>
      <c r="Z908" s="49"/>
    </row>
    <row r="909" spans="1:26" ht="15.5">
      <c r="A909" s="1"/>
      <c r="B909" s="1"/>
      <c r="C909" s="1"/>
      <c r="D909" s="1"/>
      <c r="E909" s="1"/>
      <c r="F909" s="1"/>
      <c r="G909" s="1"/>
      <c r="H909" s="49"/>
      <c r="I909" s="49"/>
      <c r="J909" s="49"/>
      <c r="K909" s="49"/>
      <c r="L909" s="49"/>
      <c r="M909" s="49"/>
      <c r="N909" s="49"/>
      <c r="O909" s="49"/>
      <c r="P909" s="49"/>
      <c r="Q909" s="49"/>
      <c r="R909" s="49"/>
      <c r="S909" s="49"/>
      <c r="T909" s="49"/>
      <c r="U909" s="49"/>
      <c r="V909" s="49"/>
      <c r="W909" s="49"/>
      <c r="X909" s="49"/>
      <c r="Y909" s="49"/>
      <c r="Z909" s="49"/>
    </row>
    <row r="910" spans="1:26" ht="15.5">
      <c r="A910" s="1"/>
      <c r="B910" s="1"/>
      <c r="C910" s="1"/>
      <c r="D910" s="1"/>
      <c r="E910" s="1"/>
      <c r="F910" s="1"/>
      <c r="G910" s="1"/>
      <c r="H910" s="49"/>
      <c r="I910" s="49"/>
      <c r="J910" s="49"/>
      <c r="K910" s="49"/>
      <c r="L910" s="49"/>
      <c r="M910" s="49"/>
      <c r="N910" s="49"/>
      <c r="O910" s="49"/>
      <c r="P910" s="49"/>
      <c r="Q910" s="49"/>
      <c r="R910" s="49"/>
      <c r="S910" s="49"/>
      <c r="T910" s="49"/>
      <c r="U910" s="49"/>
      <c r="V910" s="49"/>
      <c r="W910" s="49"/>
      <c r="X910" s="49"/>
      <c r="Y910" s="49"/>
      <c r="Z910" s="49"/>
    </row>
    <row r="911" spans="1:26" ht="15.5">
      <c r="A911" s="1"/>
      <c r="B911" s="1"/>
      <c r="C911" s="1"/>
      <c r="D911" s="1"/>
      <c r="E911" s="1"/>
      <c r="F911" s="1"/>
      <c r="G911" s="1"/>
      <c r="H911" s="49"/>
      <c r="I911" s="49"/>
      <c r="J911" s="49"/>
      <c r="K911" s="49"/>
      <c r="L911" s="49"/>
      <c r="M911" s="49"/>
      <c r="N911" s="49"/>
      <c r="O911" s="49"/>
      <c r="P911" s="49"/>
      <c r="Q911" s="49"/>
      <c r="R911" s="49"/>
      <c r="S911" s="49"/>
      <c r="T911" s="49"/>
      <c r="U911" s="49"/>
      <c r="V911" s="49"/>
      <c r="W911" s="49"/>
      <c r="X911" s="49"/>
      <c r="Y911" s="49"/>
      <c r="Z911" s="49"/>
    </row>
    <row r="912" spans="1:26" ht="15.5">
      <c r="A912" s="1"/>
      <c r="B912" s="1"/>
      <c r="C912" s="1"/>
      <c r="D912" s="1"/>
      <c r="E912" s="1"/>
      <c r="F912" s="1"/>
      <c r="G912" s="1"/>
      <c r="H912" s="49"/>
      <c r="I912" s="49"/>
      <c r="J912" s="49"/>
      <c r="K912" s="49"/>
      <c r="L912" s="49"/>
      <c r="M912" s="49"/>
      <c r="N912" s="49"/>
      <c r="O912" s="49"/>
      <c r="P912" s="49"/>
      <c r="Q912" s="49"/>
      <c r="R912" s="49"/>
      <c r="S912" s="49"/>
      <c r="T912" s="49"/>
      <c r="U912" s="49"/>
      <c r="V912" s="49"/>
      <c r="W912" s="49"/>
      <c r="X912" s="49"/>
      <c r="Y912" s="49"/>
      <c r="Z912" s="49"/>
    </row>
    <row r="913" spans="1:26" ht="15.5">
      <c r="A913" s="1"/>
      <c r="B913" s="1"/>
      <c r="C913" s="1"/>
      <c r="D913" s="1"/>
      <c r="E913" s="1"/>
      <c r="F913" s="1"/>
      <c r="G913" s="1"/>
      <c r="H913" s="49"/>
      <c r="I913" s="49"/>
      <c r="J913" s="49"/>
      <c r="K913" s="49"/>
      <c r="L913" s="49"/>
      <c r="M913" s="49"/>
      <c r="N913" s="49"/>
      <c r="O913" s="49"/>
      <c r="P913" s="49"/>
      <c r="Q913" s="49"/>
      <c r="R913" s="49"/>
      <c r="S913" s="49"/>
      <c r="T913" s="49"/>
      <c r="U913" s="49"/>
      <c r="V913" s="49"/>
      <c r="W913" s="49"/>
      <c r="X913" s="49"/>
      <c r="Y913" s="49"/>
      <c r="Z913" s="49"/>
    </row>
    <row r="914" spans="1:26" ht="15.5">
      <c r="A914" s="1"/>
      <c r="B914" s="1"/>
      <c r="C914" s="1"/>
      <c r="D914" s="1"/>
      <c r="E914" s="1"/>
      <c r="F914" s="1"/>
      <c r="G914" s="1"/>
      <c r="H914" s="49"/>
      <c r="I914" s="49"/>
      <c r="J914" s="49"/>
      <c r="K914" s="49"/>
      <c r="L914" s="49"/>
      <c r="M914" s="49"/>
      <c r="N914" s="49"/>
      <c r="O914" s="49"/>
      <c r="P914" s="49"/>
      <c r="Q914" s="49"/>
      <c r="R914" s="49"/>
      <c r="S914" s="49"/>
      <c r="T914" s="49"/>
      <c r="U914" s="49"/>
      <c r="V914" s="49"/>
      <c r="W914" s="49"/>
      <c r="X914" s="49"/>
      <c r="Y914" s="49"/>
      <c r="Z914" s="49"/>
    </row>
    <row r="915" spans="1:26" ht="15.5">
      <c r="A915" s="1"/>
      <c r="B915" s="1"/>
      <c r="C915" s="1"/>
      <c r="D915" s="1"/>
      <c r="E915" s="1"/>
      <c r="F915" s="1"/>
      <c r="G915" s="1"/>
      <c r="H915" s="49"/>
      <c r="I915" s="49"/>
      <c r="J915" s="49"/>
      <c r="K915" s="49"/>
      <c r="L915" s="49"/>
      <c r="M915" s="49"/>
      <c r="N915" s="49"/>
      <c r="O915" s="49"/>
      <c r="P915" s="49"/>
      <c r="Q915" s="49"/>
      <c r="R915" s="49"/>
      <c r="S915" s="49"/>
      <c r="T915" s="49"/>
      <c r="U915" s="49"/>
      <c r="V915" s="49"/>
      <c r="W915" s="49"/>
      <c r="X915" s="49"/>
      <c r="Y915" s="49"/>
      <c r="Z915" s="49"/>
    </row>
    <row r="916" spans="1:26" ht="15.5">
      <c r="A916" s="1"/>
      <c r="B916" s="1"/>
      <c r="C916" s="1"/>
      <c r="D916" s="1"/>
      <c r="E916" s="1"/>
      <c r="F916" s="1"/>
      <c r="G916" s="1"/>
      <c r="H916" s="49"/>
      <c r="I916" s="49"/>
      <c r="J916" s="49"/>
      <c r="K916" s="49"/>
      <c r="L916" s="49"/>
      <c r="M916" s="49"/>
      <c r="N916" s="49"/>
      <c r="O916" s="49"/>
      <c r="P916" s="49"/>
      <c r="Q916" s="49"/>
      <c r="R916" s="49"/>
      <c r="S916" s="49"/>
      <c r="T916" s="49"/>
      <c r="U916" s="49"/>
      <c r="V916" s="49"/>
      <c r="W916" s="49"/>
      <c r="X916" s="49"/>
      <c r="Y916" s="49"/>
      <c r="Z916" s="49"/>
    </row>
    <row r="917" spans="1:26" ht="15.5">
      <c r="A917" s="1"/>
      <c r="B917" s="1"/>
      <c r="C917" s="1"/>
      <c r="D917" s="1"/>
      <c r="E917" s="1"/>
      <c r="F917" s="1"/>
      <c r="G917" s="1"/>
      <c r="H917" s="49"/>
      <c r="I917" s="49"/>
      <c r="J917" s="49"/>
      <c r="K917" s="49"/>
      <c r="L917" s="49"/>
      <c r="M917" s="49"/>
      <c r="N917" s="49"/>
      <c r="O917" s="49"/>
      <c r="P917" s="49"/>
      <c r="Q917" s="49"/>
      <c r="R917" s="49"/>
      <c r="S917" s="49"/>
      <c r="T917" s="49"/>
      <c r="U917" s="49"/>
      <c r="V917" s="49"/>
      <c r="W917" s="49"/>
      <c r="X917" s="49"/>
      <c r="Y917" s="49"/>
      <c r="Z917" s="49"/>
    </row>
    <row r="918" spans="1:26" ht="15.5">
      <c r="A918" s="1"/>
      <c r="B918" s="1"/>
      <c r="C918" s="1"/>
      <c r="D918" s="1"/>
      <c r="E918" s="1"/>
      <c r="F918" s="1"/>
      <c r="G918" s="1"/>
      <c r="H918" s="49"/>
      <c r="I918" s="49"/>
      <c r="J918" s="49"/>
      <c r="K918" s="49"/>
      <c r="L918" s="49"/>
      <c r="M918" s="49"/>
      <c r="N918" s="49"/>
      <c r="O918" s="49"/>
      <c r="P918" s="49"/>
      <c r="Q918" s="49"/>
      <c r="R918" s="49"/>
      <c r="S918" s="49"/>
      <c r="T918" s="49"/>
      <c r="U918" s="49"/>
      <c r="V918" s="49"/>
      <c r="W918" s="49"/>
      <c r="X918" s="49"/>
      <c r="Y918" s="49"/>
      <c r="Z918" s="49"/>
    </row>
    <row r="919" spans="1:26" ht="15.5">
      <c r="A919" s="1"/>
      <c r="B919" s="1"/>
      <c r="C919" s="1"/>
      <c r="D919" s="1"/>
      <c r="E919" s="1"/>
      <c r="F919" s="1"/>
      <c r="G919" s="1"/>
      <c r="H919" s="49"/>
      <c r="I919" s="49"/>
      <c r="J919" s="49"/>
      <c r="K919" s="49"/>
      <c r="L919" s="49"/>
      <c r="M919" s="49"/>
      <c r="N919" s="49"/>
      <c r="O919" s="49"/>
      <c r="P919" s="49"/>
      <c r="Q919" s="49"/>
      <c r="R919" s="49"/>
      <c r="S919" s="49"/>
      <c r="T919" s="49"/>
      <c r="U919" s="49"/>
      <c r="V919" s="49"/>
      <c r="W919" s="49"/>
      <c r="X919" s="49"/>
      <c r="Y919" s="49"/>
      <c r="Z919" s="49"/>
    </row>
    <row r="920" spans="1:26" ht="15.5">
      <c r="A920" s="1"/>
      <c r="B920" s="1"/>
      <c r="C920" s="1"/>
      <c r="D920" s="1"/>
      <c r="E920" s="1"/>
      <c r="F920" s="1"/>
      <c r="G920" s="1"/>
      <c r="H920" s="49"/>
      <c r="I920" s="49"/>
      <c r="J920" s="49"/>
      <c r="K920" s="49"/>
      <c r="L920" s="49"/>
      <c r="M920" s="49"/>
      <c r="N920" s="49"/>
      <c r="O920" s="49"/>
      <c r="P920" s="49"/>
      <c r="Q920" s="49"/>
      <c r="R920" s="49"/>
      <c r="S920" s="49"/>
      <c r="T920" s="49"/>
      <c r="U920" s="49"/>
      <c r="V920" s="49"/>
      <c r="W920" s="49"/>
      <c r="X920" s="49"/>
      <c r="Y920" s="49"/>
      <c r="Z920" s="49"/>
    </row>
    <row r="921" spans="1:26" ht="15.5">
      <c r="A921" s="1"/>
      <c r="B921" s="1"/>
      <c r="C921" s="1"/>
      <c r="D921" s="1"/>
      <c r="E921" s="1"/>
      <c r="F921" s="1"/>
      <c r="G921" s="1"/>
      <c r="H921" s="49"/>
      <c r="I921" s="49"/>
      <c r="J921" s="49"/>
      <c r="K921" s="49"/>
      <c r="L921" s="49"/>
      <c r="M921" s="49"/>
      <c r="N921" s="49"/>
      <c r="O921" s="49"/>
      <c r="P921" s="49"/>
      <c r="Q921" s="49"/>
      <c r="R921" s="49"/>
      <c r="S921" s="49"/>
      <c r="T921" s="49"/>
      <c r="U921" s="49"/>
      <c r="V921" s="49"/>
      <c r="W921" s="49"/>
      <c r="X921" s="49"/>
      <c r="Y921" s="49"/>
      <c r="Z921" s="49"/>
    </row>
    <row r="922" spans="1:26" ht="15.5">
      <c r="A922" s="1"/>
      <c r="B922" s="1"/>
      <c r="C922" s="1"/>
      <c r="D922" s="1"/>
      <c r="E922" s="1"/>
      <c r="F922" s="1"/>
      <c r="G922" s="1"/>
      <c r="H922" s="49"/>
      <c r="I922" s="49"/>
      <c r="J922" s="49"/>
      <c r="K922" s="49"/>
      <c r="L922" s="49"/>
      <c r="M922" s="49"/>
      <c r="N922" s="49"/>
      <c r="O922" s="49"/>
      <c r="P922" s="49"/>
      <c r="Q922" s="49"/>
      <c r="R922" s="49"/>
      <c r="S922" s="49"/>
      <c r="T922" s="49"/>
      <c r="U922" s="49"/>
      <c r="V922" s="49"/>
      <c r="W922" s="49"/>
      <c r="X922" s="49"/>
      <c r="Y922" s="49"/>
      <c r="Z922" s="49"/>
    </row>
    <row r="923" spans="1:26" ht="15.5">
      <c r="A923" s="1"/>
      <c r="B923" s="1"/>
      <c r="C923" s="1"/>
      <c r="D923" s="1"/>
      <c r="E923" s="1"/>
      <c r="F923" s="1"/>
      <c r="G923" s="1"/>
      <c r="H923" s="49"/>
      <c r="I923" s="49"/>
      <c r="J923" s="49"/>
      <c r="K923" s="49"/>
      <c r="L923" s="49"/>
      <c r="M923" s="49"/>
      <c r="N923" s="49"/>
      <c r="O923" s="49"/>
      <c r="P923" s="49"/>
      <c r="Q923" s="49"/>
      <c r="R923" s="49"/>
      <c r="S923" s="49"/>
      <c r="T923" s="49"/>
      <c r="U923" s="49"/>
      <c r="V923" s="49"/>
      <c r="W923" s="49"/>
      <c r="X923" s="49"/>
      <c r="Y923" s="49"/>
      <c r="Z923" s="49"/>
    </row>
    <row r="924" spans="1:26" ht="15.5">
      <c r="A924" s="1"/>
      <c r="B924" s="1"/>
      <c r="C924" s="1"/>
      <c r="D924" s="1"/>
      <c r="E924" s="1"/>
      <c r="F924" s="1"/>
      <c r="G924" s="1"/>
      <c r="H924" s="49"/>
      <c r="I924" s="49"/>
      <c r="J924" s="49"/>
      <c r="K924" s="49"/>
      <c r="L924" s="49"/>
      <c r="M924" s="49"/>
      <c r="N924" s="49"/>
      <c r="O924" s="49"/>
      <c r="P924" s="49"/>
      <c r="Q924" s="49"/>
      <c r="R924" s="49"/>
      <c r="S924" s="49"/>
      <c r="T924" s="49"/>
      <c r="U924" s="49"/>
      <c r="V924" s="49"/>
      <c r="W924" s="49"/>
      <c r="X924" s="49"/>
      <c r="Y924" s="49"/>
      <c r="Z924" s="49"/>
    </row>
    <row r="925" spans="1:26" ht="15.5">
      <c r="A925" s="1"/>
      <c r="B925" s="1"/>
      <c r="C925" s="1"/>
      <c r="D925" s="1"/>
      <c r="E925" s="1"/>
      <c r="F925" s="1"/>
      <c r="G925" s="1"/>
      <c r="H925" s="49"/>
      <c r="I925" s="49"/>
      <c r="J925" s="49"/>
      <c r="K925" s="49"/>
      <c r="L925" s="49"/>
      <c r="M925" s="49"/>
      <c r="N925" s="49"/>
      <c r="O925" s="49"/>
      <c r="P925" s="49"/>
      <c r="Q925" s="49"/>
      <c r="R925" s="49"/>
      <c r="S925" s="49"/>
      <c r="T925" s="49"/>
      <c r="U925" s="49"/>
      <c r="V925" s="49"/>
      <c r="W925" s="49"/>
      <c r="X925" s="49"/>
      <c r="Y925" s="49"/>
      <c r="Z925" s="49"/>
    </row>
    <row r="926" spans="1:26" ht="15.5">
      <c r="A926" s="1"/>
      <c r="B926" s="1"/>
      <c r="C926" s="1"/>
      <c r="D926" s="1"/>
      <c r="E926" s="1"/>
      <c r="F926" s="1"/>
      <c r="G926" s="1"/>
      <c r="H926" s="49"/>
      <c r="I926" s="49"/>
      <c r="J926" s="49"/>
      <c r="K926" s="49"/>
      <c r="L926" s="49"/>
      <c r="M926" s="49"/>
      <c r="N926" s="49"/>
      <c r="O926" s="49"/>
      <c r="P926" s="49"/>
      <c r="Q926" s="49"/>
      <c r="R926" s="49"/>
      <c r="S926" s="49"/>
      <c r="T926" s="49"/>
      <c r="U926" s="49"/>
      <c r="V926" s="49"/>
      <c r="W926" s="49"/>
      <c r="X926" s="49"/>
      <c r="Y926" s="49"/>
      <c r="Z926" s="49"/>
    </row>
    <row r="927" spans="1:26" ht="15.5">
      <c r="A927" s="1"/>
      <c r="B927" s="1"/>
      <c r="C927" s="1"/>
      <c r="D927" s="1"/>
      <c r="E927" s="1"/>
      <c r="F927" s="1"/>
      <c r="G927" s="1"/>
      <c r="H927" s="49"/>
      <c r="I927" s="49"/>
      <c r="J927" s="49"/>
      <c r="K927" s="49"/>
      <c r="L927" s="49"/>
      <c r="M927" s="49"/>
      <c r="N927" s="49"/>
      <c r="O927" s="49"/>
      <c r="P927" s="49"/>
      <c r="Q927" s="49"/>
      <c r="R927" s="49"/>
      <c r="S927" s="49"/>
      <c r="T927" s="49"/>
      <c r="U927" s="49"/>
      <c r="V927" s="49"/>
      <c r="W927" s="49"/>
      <c r="X927" s="49"/>
      <c r="Y927" s="49"/>
      <c r="Z927" s="49"/>
    </row>
    <row r="928" spans="1:26" ht="15.5">
      <c r="A928" s="1"/>
      <c r="B928" s="1"/>
      <c r="C928" s="1"/>
      <c r="D928" s="1"/>
      <c r="E928" s="1"/>
      <c r="F928" s="1"/>
      <c r="G928" s="1"/>
      <c r="H928" s="49"/>
      <c r="I928" s="49"/>
      <c r="J928" s="49"/>
      <c r="K928" s="49"/>
      <c r="L928" s="49"/>
      <c r="M928" s="49"/>
      <c r="N928" s="49"/>
      <c r="O928" s="49"/>
      <c r="P928" s="49"/>
      <c r="Q928" s="49"/>
      <c r="R928" s="49"/>
      <c r="S928" s="49"/>
      <c r="T928" s="49"/>
      <c r="U928" s="49"/>
      <c r="V928" s="49"/>
      <c r="W928" s="49"/>
      <c r="X928" s="49"/>
      <c r="Y928" s="49"/>
      <c r="Z928" s="49"/>
    </row>
    <row r="929" spans="1:26" ht="15.5">
      <c r="A929" s="1"/>
      <c r="B929" s="1"/>
      <c r="C929" s="1"/>
      <c r="D929" s="1"/>
      <c r="E929" s="1"/>
      <c r="F929" s="1"/>
      <c r="G929" s="1"/>
      <c r="H929" s="49"/>
      <c r="I929" s="49"/>
      <c r="J929" s="49"/>
      <c r="K929" s="49"/>
      <c r="L929" s="49"/>
      <c r="M929" s="49"/>
      <c r="N929" s="49"/>
      <c r="O929" s="49"/>
      <c r="P929" s="49"/>
      <c r="Q929" s="49"/>
      <c r="R929" s="49"/>
      <c r="S929" s="49"/>
      <c r="T929" s="49"/>
      <c r="U929" s="49"/>
      <c r="V929" s="49"/>
      <c r="W929" s="49"/>
      <c r="X929" s="49"/>
      <c r="Y929" s="49"/>
      <c r="Z929" s="49"/>
    </row>
    <row r="930" spans="1:26" ht="15.5">
      <c r="A930" s="1"/>
      <c r="B930" s="1"/>
      <c r="C930" s="1"/>
      <c r="D930" s="1"/>
      <c r="E930" s="1"/>
      <c r="F930" s="1"/>
      <c r="G930" s="1"/>
      <c r="H930" s="49"/>
      <c r="I930" s="49"/>
      <c r="J930" s="49"/>
      <c r="K930" s="49"/>
      <c r="L930" s="49"/>
      <c r="M930" s="49"/>
      <c r="N930" s="49"/>
      <c r="O930" s="49"/>
      <c r="P930" s="49"/>
      <c r="Q930" s="49"/>
      <c r="R930" s="49"/>
      <c r="S930" s="49"/>
      <c r="T930" s="49"/>
      <c r="U930" s="49"/>
      <c r="V930" s="49"/>
      <c r="W930" s="49"/>
      <c r="X930" s="49"/>
      <c r="Y930" s="49"/>
      <c r="Z930" s="49"/>
    </row>
    <row r="931" spans="1:26" ht="15.5">
      <c r="A931" s="1"/>
      <c r="B931" s="1"/>
      <c r="C931" s="1"/>
      <c r="D931" s="1"/>
      <c r="E931" s="1"/>
      <c r="F931" s="1"/>
      <c r="G931" s="1"/>
      <c r="H931" s="49"/>
      <c r="I931" s="49"/>
      <c r="J931" s="49"/>
      <c r="K931" s="49"/>
      <c r="L931" s="49"/>
      <c r="M931" s="49"/>
      <c r="N931" s="49"/>
      <c r="O931" s="49"/>
      <c r="P931" s="49"/>
      <c r="Q931" s="49"/>
      <c r="R931" s="49"/>
      <c r="S931" s="49"/>
      <c r="T931" s="49"/>
      <c r="U931" s="49"/>
      <c r="V931" s="49"/>
      <c r="W931" s="49"/>
      <c r="X931" s="49"/>
      <c r="Y931" s="49"/>
      <c r="Z931" s="49"/>
    </row>
    <row r="932" spans="1:26" ht="15.5">
      <c r="A932" s="1"/>
      <c r="B932" s="1"/>
      <c r="C932" s="1"/>
      <c r="D932" s="1"/>
      <c r="E932" s="1"/>
      <c r="F932" s="1"/>
      <c r="G932" s="1"/>
      <c r="H932" s="49"/>
      <c r="I932" s="49"/>
      <c r="J932" s="49"/>
      <c r="K932" s="49"/>
      <c r="L932" s="49"/>
      <c r="M932" s="49"/>
      <c r="N932" s="49"/>
      <c r="O932" s="49"/>
      <c r="P932" s="49"/>
      <c r="Q932" s="49"/>
      <c r="R932" s="49"/>
      <c r="S932" s="49"/>
      <c r="T932" s="49"/>
      <c r="U932" s="49"/>
      <c r="V932" s="49"/>
      <c r="W932" s="49"/>
      <c r="X932" s="49"/>
      <c r="Y932" s="49"/>
      <c r="Z932" s="49"/>
    </row>
    <row r="933" spans="1:26" ht="15.5">
      <c r="A933" s="1"/>
      <c r="B933" s="1"/>
      <c r="C933" s="1"/>
      <c r="D933" s="1"/>
      <c r="E933" s="1"/>
      <c r="F933" s="1"/>
      <c r="G933" s="1"/>
      <c r="H933" s="49"/>
      <c r="I933" s="49"/>
      <c r="J933" s="49"/>
      <c r="K933" s="49"/>
      <c r="L933" s="49"/>
      <c r="M933" s="49"/>
      <c r="N933" s="49"/>
      <c r="O933" s="49"/>
      <c r="P933" s="49"/>
      <c r="Q933" s="49"/>
      <c r="R933" s="49"/>
      <c r="S933" s="49"/>
      <c r="T933" s="49"/>
      <c r="U933" s="49"/>
      <c r="V933" s="49"/>
      <c r="W933" s="49"/>
      <c r="X933" s="49"/>
      <c r="Y933" s="49"/>
      <c r="Z933" s="49"/>
    </row>
    <row r="934" spans="1:26" ht="15.5">
      <c r="A934" s="1"/>
      <c r="B934" s="1"/>
      <c r="C934" s="1"/>
      <c r="D934" s="1"/>
      <c r="E934" s="1"/>
      <c r="F934" s="1"/>
      <c r="G934" s="1"/>
      <c r="H934" s="49"/>
      <c r="I934" s="49"/>
      <c r="J934" s="49"/>
      <c r="K934" s="49"/>
      <c r="L934" s="49"/>
      <c r="M934" s="49"/>
      <c r="N934" s="49"/>
      <c r="O934" s="49"/>
      <c r="P934" s="49"/>
      <c r="Q934" s="49"/>
      <c r="R934" s="49"/>
      <c r="S934" s="49"/>
      <c r="T934" s="49"/>
      <c r="U934" s="49"/>
      <c r="V934" s="49"/>
      <c r="W934" s="49"/>
      <c r="X934" s="49"/>
      <c r="Y934" s="49"/>
      <c r="Z934" s="49"/>
    </row>
    <row r="935" spans="1:26" ht="15.5">
      <c r="A935" s="1"/>
      <c r="B935" s="1"/>
      <c r="C935" s="1"/>
      <c r="D935" s="1"/>
      <c r="E935" s="1"/>
      <c r="F935" s="1"/>
      <c r="G935" s="1"/>
      <c r="H935" s="49"/>
      <c r="I935" s="49"/>
      <c r="J935" s="49"/>
      <c r="K935" s="49"/>
      <c r="L935" s="49"/>
      <c r="M935" s="49"/>
      <c r="N935" s="49"/>
      <c r="O935" s="49"/>
      <c r="P935" s="49"/>
      <c r="Q935" s="49"/>
      <c r="R935" s="49"/>
      <c r="S935" s="49"/>
      <c r="T935" s="49"/>
      <c r="U935" s="49"/>
      <c r="V935" s="49"/>
      <c r="W935" s="49"/>
      <c r="X935" s="49"/>
      <c r="Y935" s="49"/>
      <c r="Z935" s="49"/>
    </row>
    <row r="936" spans="1:26" ht="15.5">
      <c r="A936" s="1"/>
      <c r="B936" s="1"/>
      <c r="C936" s="1"/>
      <c r="D936" s="1"/>
      <c r="E936" s="1"/>
      <c r="F936" s="1"/>
      <c r="G936" s="1"/>
      <c r="H936" s="49"/>
      <c r="I936" s="49"/>
      <c r="J936" s="49"/>
      <c r="K936" s="49"/>
      <c r="L936" s="49"/>
      <c r="M936" s="49"/>
      <c r="N936" s="49"/>
      <c r="O936" s="49"/>
      <c r="P936" s="49"/>
      <c r="Q936" s="49"/>
      <c r="R936" s="49"/>
      <c r="S936" s="49"/>
      <c r="T936" s="49"/>
      <c r="U936" s="49"/>
      <c r="V936" s="49"/>
      <c r="W936" s="49"/>
      <c r="X936" s="49"/>
      <c r="Y936" s="49"/>
      <c r="Z936" s="49"/>
    </row>
    <row r="937" spans="1:26" ht="15.5">
      <c r="A937" s="1"/>
      <c r="B937" s="1"/>
      <c r="C937" s="1"/>
      <c r="D937" s="1"/>
      <c r="E937" s="1"/>
      <c r="F937" s="1"/>
      <c r="G937" s="1"/>
      <c r="H937" s="49"/>
      <c r="I937" s="49"/>
      <c r="J937" s="49"/>
      <c r="K937" s="49"/>
      <c r="L937" s="49"/>
      <c r="M937" s="49"/>
      <c r="N937" s="49"/>
      <c r="O937" s="49"/>
      <c r="P937" s="49"/>
      <c r="Q937" s="49"/>
      <c r="R937" s="49"/>
      <c r="S937" s="49"/>
      <c r="T937" s="49"/>
      <c r="U937" s="49"/>
      <c r="V937" s="49"/>
      <c r="W937" s="49"/>
      <c r="X937" s="49"/>
      <c r="Y937" s="49"/>
      <c r="Z937" s="49"/>
    </row>
    <row r="938" spans="1:26" ht="15.5">
      <c r="A938" s="1"/>
      <c r="B938" s="1"/>
      <c r="C938" s="1"/>
      <c r="D938" s="1"/>
      <c r="E938" s="1"/>
      <c r="F938" s="1"/>
      <c r="G938" s="1"/>
      <c r="H938" s="49"/>
      <c r="I938" s="49"/>
      <c r="J938" s="49"/>
      <c r="K938" s="49"/>
      <c r="L938" s="49"/>
      <c r="M938" s="49"/>
      <c r="N938" s="49"/>
      <c r="O938" s="49"/>
      <c r="P938" s="49"/>
      <c r="Q938" s="49"/>
      <c r="R938" s="49"/>
      <c r="S938" s="49"/>
      <c r="T938" s="49"/>
      <c r="U938" s="49"/>
      <c r="V938" s="49"/>
      <c r="W938" s="49"/>
      <c r="X938" s="49"/>
      <c r="Y938" s="49"/>
      <c r="Z938" s="49"/>
    </row>
    <row r="939" spans="1:26" ht="15.5">
      <c r="A939" s="1"/>
      <c r="B939" s="1"/>
      <c r="C939" s="1"/>
      <c r="D939" s="1"/>
      <c r="E939" s="1"/>
      <c r="F939" s="1"/>
      <c r="G939" s="1"/>
      <c r="H939" s="49"/>
      <c r="I939" s="49"/>
      <c r="J939" s="49"/>
      <c r="K939" s="49"/>
      <c r="L939" s="49"/>
      <c r="M939" s="49"/>
      <c r="N939" s="49"/>
      <c r="O939" s="49"/>
      <c r="P939" s="49"/>
      <c r="Q939" s="49"/>
      <c r="R939" s="49"/>
      <c r="S939" s="49"/>
      <c r="T939" s="49"/>
      <c r="U939" s="49"/>
      <c r="V939" s="49"/>
      <c r="W939" s="49"/>
      <c r="X939" s="49"/>
      <c r="Y939" s="49"/>
      <c r="Z939" s="49"/>
    </row>
    <row r="940" spans="1:26" ht="15.5">
      <c r="A940" s="1"/>
      <c r="B940" s="1"/>
      <c r="C940" s="1"/>
      <c r="D940" s="1"/>
      <c r="E940" s="1"/>
      <c r="F940" s="1"/>
      <c r="G940" s="1"/>
      <c r="H940" s="49"/>
      <c r="I940" s="49"/>
      <c r="J940" s="49"/>
      <c r="K940" s="49"/>
      <c r="L940" s="49"/>
      <c r="M940" s="49"/>
      <c r="N940" s="49"/>
      <c r="O940" s="49"/>
      <c r="P940" s="49"/>
      <c r="Q940" s="49"/>
      <c r="R940" s="49"/>
      <c r="S940" s="49"/>
      <c r="T940" s="49"/>
      <c r="U940" s="49"/>
      <c r="V940" s="49"/>
      <c r="W940" s="49"/>
      <c r="X940" s="49"/>
      <c r="Y940" s="49"/>
      <c r="Z940" s="49"/>
    </row>
    <row r="941" spans="1:26" ht="15.5">
      <c r="A941" s="1"/>
      <c r="B941" s="1"/>
      <c r="C941" s="1"/>
      <c r="D941" s="1"/>
      <c r="E941" s="1"/>
      <c r="F941" s="1"/>
      <c r="G941" s="1"/>
      <c r="H941" s="49"/>
      <c r="I941" s="49"/>
      <c r="J941" s="49"/>
      <c r="K941" s="49"/>
      <c r="L941" s="49"/>
      <c r="M941" s="49"/>
      <c r="N941" s="49"/>
      <c r="O941" s="49"/>
      <c r="P941" s="49"/>
      <c r="Q941" s="49"/>
      <c r="R941" s="49"/>
      <c r="S941" s="49"/>
      <c r="T941" s="49"/>
      <c r="U941" s="49"/>
      <c r="V941" s="49"/>
      <c r="W941" s="49"/>
      <c r="X941" s="49"/>
      <c r="Y941" s="49"/>
      <c r="Z941" s="49"/>
    </row>
    <row r="942" spans="1:26" ht="15.5">
      <c r="A942" s="1"/>
      <c r="B942" s="1"/>
      <c r="C942" s="1"/>
      <c r="D942" s="1"/>
      <c r="E942" s="1"/>
      <c r="F942" s="1"/>
      <c r="G942" s="1"/>
      <c r="H942" s="49"/>
      <c r="I942" s="49"/>
      <c r="J942" s="49"/>
      <c r="K942" s="49"/>
      <c r="L942" s="49"/>
      <c r="M942" s="49"/>
      <c r="N942" s="49"/>
      <c r="O942" s="49"/>
      <c r="P942" s="49"/>
      <c r="Q942" s="49"/>
      <c r="R942" s="49"/>
      <c r="S942" s="49"/>
      <c r="T942" s="49"/>
      <c r="U942" s="49"/>
      <c r="V942" s="49"/>
      <c r="W942" s="49"/>
      <c r="X942" s="49"/>
      <c r="Y942" s="49"/>
      <c r="Z942" s="49"/>
    </row>
    <row r="943" spans="1:26" ht="15.5">
      <c r="A943" s="1"/>
      <c r="B943" s="1"/>
      <c r="C943" s="1"/>
      <c r="D943" s="1"/>
      <c r="E943" s="1"/>
      <c r="F943" s="1"/>
      <c r="G943" s="1"/>
      <c r="H943" s="49"/>
      <c r="I943" s="49"/>
      <c r="J943" s="49"/>
      <c r="K943" s="49"/>
      <c r="L943" s="49"/>
      <c r="M943" s="49"/>
      <c r="N943" s="49"/>
      <c r="O943" s="49"/>
      <c r="P943" s="49"/>
      <c r="Q943" s="49"/>
      <c r="R943" s="49"/>
      <c r="S943" s="49"/>
      <c r="T943" s="49"/>
      <c r="U943" s="49"/>
      <c r="V943" s="49"/>
      <c r="W943" s="49"/>
      <c r="X943" s="49"/>
      <c r="Y943" s="49"/>
      <c r="Z943" s="49"/>
    </row>
    <row r="944" spans="1:26" ht="15.5">
      <c r="A944" s="1"/>
      <c r="B944" s="1"/>
      <c r="C944" s="1"/>
      <c r="D944" s="1"/>
      <c r="E944" s="1"/>
      <c r="F944" s="1"/>
      <c r="G944" s="1"/>
      <c r="H944" s="49"/>
      <c r="I944" s="49"/>
      <c r="J944" s="49"/>
      <c r="K944" s="49"/>
      <c r="L944" s="49"/>
      <c r="M944" s="49"/>
      <c r="N944" s="49"/>
      <c r="O944" s="49"/>
      <c r="P944" s="49"/>
      <c r="Q944" s="49"/>
      <c r="R944" s="49"/>
      <c r="S944" s="49"/>
      <c r="T944" s="49"/>
      <c r="U944" s="49"/>
      <c r="V944" s="49"/>
      <c r="W944" s="49"/>
      <c r="X944" s="49"/>
      <c r="Y944" s="49"/>
      <c r="Z944" s="49"/>
    </row>
    <row r="945" spans="1:26" ht="15.5">
      <c r="A945" s="1"/>
      <c r="B945" s="1"/>
      <c r="C945" s="1"/>
      <c r="D945" s="1"/>
      <c r="E945" s="1"/>
      <c r="F945" s="1"/>
      <c r="G945" s="1"/>
      <c r="H945" s="49"/>
      <c r="I945" s="49"/>
      <c r="J945" s="49"/>
      <c r="K945" s="49"/>
      <c r="L945" s="49"/>
      <c r="M945" s="49"/>
      <c r="N945" s="49"/>
      <c r="O945" s="49"/>
      <c r="P945" s="49"/>
      <c r="Q945" s="49"/>
      <c r="R945" s="49"/>
      <c r="S945" s="49"/>
      <c r="T945" s="49"/>
      <c r="U945" s="49"/>
      <c r="V945" s="49"/>
      <c r="W945" s="49"/>
      <c r="X945" s="49"/>
      <c r="Y945" s="49"/>
      <c r="Z945" s="49"/>
    </row>
    <row r="946" spans="1:26" ht="15.5">
      <c r="A946" s="1"/>
      <c r="B946" s="1"/>
      <c r="C946" s="1"/>
      <c r="D946" s="1"/>
      <c r="E946" s="1"/>
      <c r="F946" s="1"/>
      <c r="G946" s="1"/>
      <c r="H946" s="49"/>
      <c r="I946" s="49"/>
      <c r="J946" s="49"/>
      <c r="K946" s="49"/>
      <c r="L946" s="49"/>
      <c r="M946" s="49"/>
      <c r="N946" s="49"/>
      <c r="O946" s="49"/>
      <c r="P946" s="49"/>
      <c r="Q946" s="49"/>
      <c r="R946" s="49"/>
      <c r="S946" s="49"/>
      <c r="T946" s="49"/>
      <c r="U946" s="49"/>
      <c r="V946" s="49"/>
      <c r="W946" s="49"/>
      <c r="X946" s="49"/>
      <c r="Y946" s="49"/>
      <c r="Z946" s="49"/>
    </row>
    <row r="947" spans="1:26" ht="15.5">
      <c r="A947" s="1"/>
      <c r="B947" s="1"/>
      <c r="C947" s="1"/>
      <c r="D947" s="1"/>
      <c r="E947" s="1"/>
      <c r="F947" s="1"/>
      <c r="G947" s="1"/>
      <c r="H947" s="49"/>
      <c r="I947" s="49"/>
      <c r="J947" s="49"/>
      <c r="K947" s="49"/>
      <c r="L947" s="49"/>
      <c r="M947" s="49"/>
      <c r="N947" s="49"/>
      <c r="O947" s="49"/>
      <c r="P947" s="49"/>
      <c r="Q947" s="49"/>
      <c r="R947" s="49"/>
      <c r="S947" s="49"/>
      <c r="T947" s="49"/>
      <c r="U947" s="49"/>
      <c r="V947" s="49"/>
      <c r="W947" s="49"/>
      <c r="X947" s="49"/>
      <c r="Y947" s="49"/>
      <c r="Z947" s="49"/>
    </row>
    <row r="948" spans="1:26" ht="15.5">
      <c r="A948" s="1"/>
      <c r="B948" s="1"/>
      <c r="C948" s="1"/>
      <c r="D948" s="1"/>
      <c r="E948" s="1"/>
      <c r="F948" s="1"/>
      <c r="G948" s="1"/>
      <c r="H948" s="49"/>
      <c r="I948" s="49"/>
      <c r="J948" s="49"/>
      <c r="K948" s="49"/>
      <c r="L948" s="49"/>
      <c r="M948" s="49"/>
      <c r="N948" s="49"/>
      <c r="O948" s="49"/>
      <c r="P948" s="49"/>
      <c r="Q948" s="49"/>
      <c r="R948" s="49"/>
      <c r="S948" s="49"/>
      <c r="T948" s="49"/>
      <c r="U948" s="49"/>
      <c r="V948" s="49"/>
      <c r="W948" s="49"/>
      <c r="X948" s="49"/>
      <c r="Y948" s="49"/>
      <c r="Z948" s="49"/>
    </row>
    <row r="949" spans="1:26" ht="15.5">
      <c r="A949" s="1"/>
      <c r="B949" s="1"/>
      <c r="C949" s="1"/>
      <c r="D949" s="1"/>
      <c r="E949" s="1"/>
      <c r="F949" s="1"/>
      <c r="G949" s="1"/>
      <c r="H949" s="49"/>
      <c r="I949" s="49"/>
      <c r="J949" s="49"/>
      <c r="K949" s="49"/>
      <c r="L949" s="49"/>
      <c r="M949" s="49"/>
      <c r="N949" s="49"/>
      <c r="O949" s="49"/>
      <c r="P949" s="49"/>
      <c r="Q949" s="49"/>
      <c r="R949" s="49"/>
      <c r="S949" s="49"/>
      <c r="T949" s="49"/>
      <c r="U949" s="49"/>
      <c r="V949" s="49"/>
      <c r="W949" s="49"/>
      <c r="X949" s="49"/>
      <c r="Y949" s="49"/>
      <c r="Z949" s="49"/>
    </row>
    <row r="950" spans="1:26" ht="15.5">
      <c r="A950" s="1"/>
      <c r="B950" s="1"/>
      <c r="C950" s="1"/>
      <c r="D950" s="1"/>
      <c r="E950" s="1"/>
      <c r="F950" s="1"/>
      <c r="G950" s="1"/>
      <c r="H950" s="49"/>
      <c r="I950" s="49"/>
      <c r="J950" s="49"/>
      <c r="K950" s="49"/>
      <c r="L950" s="49"/>
      <c r="M950" s="49"/>
      <c r="N950" s="49"/>
      <c r="O950" s="49"/>
      <c r="P950" s="49"/>
      <c r="Q950" s="49"/>
      <c r="R950" s="49"/>
      <c r="S950" s="49"/>
      <c r="T950" s="49"/>
      <c r="U950" s="49"/>
      <c r="V950" s="49"/>
      <c r="W950" s="49"/>
      <c r="X950" s="49"/>
      <c r="Y950" s="49"/>
      <c r="Z950" s="49"/>
    </row>
    <row r="951" spans="1:26" ht="15.5">
      <c r="A951" s="1"/>
      <c r="B951" s="1"/>
      <c r="C951" s="1"/>
      <c r="D951" s="1"/>
      <c r="E951" s="1"/>
      <c r="F951" s="1"/>
      <c r="G951" s="1"/>
      <c r="H951" s="49"/>
      <c r="I951" s="49"/>
      <c r="J951" s="49"/>
      <c r="K951" s="49"/>
      <c r="L951" s="49"/>
      <c r="M951" s="49"/>
      <c r="N951" s="49"/>
      <c r="O951" s="49"/>
      <c r="P951" s="49"/>
      <c r="Q951" s="49"/>
      <c r="R951" s="49"/>
      <c r="S951" s="49"/>
      <c r="T951" s="49"/>
      <c r="U951" s="49"/>
      <c r="V951" s="49"/>
      <c r="W951" s="49"/>
      <c r="X951" s="49"/>
      <c r="Y951" s="49"/>
      <c r="Z951" s="49"/>
    </row>
    <row r="952" spans="1:26" ht="15.5">
      <c r="A952" s="1"/>
      <c r="B952" s="1"/>
      <c r="C952" s="1"/>
      <c r="D952" s="1"/>
      <c r="E952" s="1"/>
      <c r="F952" s="1"/>
      <c r="G952" s="1"/>
      <c r="H952" s="49"/>
      <c r="I952" s="49"/>
      <c r="J952" s="49"/>
      <c r="K952" s="49"/>
      <c r="L952" s="49"/>
      <c r="M952" s="49"/>
      <c r="N952" s="49"/>
      <c r="O952" s="49"/>
      <c r="P952" s="49"/>
      <c r="Q952" s="49"/>
      <c r="R952" s="49"/>
      <c r="S952" s="49"/>
      <c r="T952" s="49"/>
      <c r="U952" s="49"/>
      <c r="V952" s="49"/>
      <c r="W952" s="49"/>
      <c r="X952" s="49"/>
      <c r="Y952" s="49"/>
      <c r="Z952" s="49"/>
    </row>
    <row r="953" spans="1:26" ht="15.5">
      <c r="A953" s="1"/>
      <c r="B953" s="1"/>
      <c r="C953" s="1"/>
      <c r="D953" s="1"/>
      <c r="E953" s="1"/>
      <c r="F953" s="1"/>
      <c r="G953" s="1"/>
      <c r="H953" s="49"/>
      <c r="I953" s="49"/>
      <c r="J953" s="49"/>
      <c r="K953" s="49"/>
      <c r="L953" s="49"/>
      <c r="M953" s="49"/>
      <c r="N953" s="49"/>
      <c r="O953" s="49"/>
      <c r="P953" s="49"/>
      <c r="Q953" s="49"/>
      <c r="R953" s="49"/>
      <c r="S953" s="49"/>
      <c r="T953" s="49"/>
      <c r="U953" s="49"/>
      <c r="V953" s="49"/>
      <c r="W953" s="49"/>
      <c r="X953" s="49"/>
      <c r="Y953" s="49"/>
      <c r="Z953" s="49"/>
    </row>
    <row r="954" spans="1:26" ht="15.5">
      <c r="A954" s="1"/>
      <c r="B954" s="1"/>
      <c r="C954" s="1"/>
      <c r="D954" s="1"/>
      <c r="E954" s="1"/>
      <c r="F954" s="1"/>
      <c r="G954" s="1"/>
      <c r="H954" s="49"/>
      <c r="I954" s="49"/>
      <c r="J954" s="49"/>
      <c r="K954" s="49"/>
      <c r="L954" s="49"/>
      <c r="M954" s="49"/>
      <c r="N954" s="49"/>
      <c r="O954" s="49"/>
      <c r="P954" s="49"/>
      <c r="Q954" s="49"/>
      <c r="R954" s="49"/>
      <c r="S954" s="49"/>
      <c r="T954" s="49"/>
      <c r="U954" s="49"/>
      <c r="V954" s="49"/>
      <c r="W954" s="49"/>
      <c r="X954" s="49"/>
      <c r="Y954" s="49"/>
      <c r="Z954" s="49"/>
    </row>
    <row r="955" spans="1:26" ht="15.5">
      <c r="A955" s="1"/>
      <c r="B955" s="1"/>
      <c r="C955" s="1"/>
      <c r="D955" s="1"/>
      <c r="E955" s="1"/>
      <c r="F955" s="1"/>
      <c r="G955" s="1"/>
      <c r="H955" s="49"/>
      <c r="I955" s="49"/>
      <c r="J955" s="49"/>
      <c r="K955" s="49"/>
      <c r="L955" s="49"/>
      <c r="M955" s="49"/>
      <c r="N955" s="49"/>
      <c r="O955" s="49"/>
      <c r="P955" s="49"/>
      <c r="Q955" s="49"/>
      <c r="R955" s="49"/>
      <c r="S955" s="49"/>
      <c r="T955" s="49"/>
      <c r="U955" s="49"/>
      <c r="V955" s="49"/>
      <c r="W955" s="49"/>
      <c r="X955" s="49"/>
      <c r="Y955" s="49"/>
      <c r="Z955" s="49"/>
    </row>
    <row r="956" spans="1:26" ht="15.5">
      <c r="A956" s="1"/>
      <c r="B956" s="1"/>
      <c r="C956" s="1"/>
      <c r="D956" s="1"/>
      <c r="E956" s="1"/>
      <c r="F956" s="1"/>
      <c r="G956" s="1"/>
      <c r="H956" s="49"/>
      <c r="I956" s="49"/>
      <c r="J956" s="49"/>
      <c r="K956" s="49"/>
      <c r="L956" s="49"/>
      <c r="M956" s="49"/>
      <c r="N956" s="49"/>
      <c r="O956" s="49"/>
      <c r="P956" s="49"/>
      <c r="Q956" s="49"/>
      <c r="R956" s="49"/>
      <c r="S956" s="49"/>
      <c r="T956" s="49"/>
      <c r="U956" s="49"/>
      <c r="V956" s="49"/>
      <c r="W956" s="49"/>
      <c r="X956" s="49"/>
      <c r="Y956" s="49"/>
      <c r="Z956" s="49"/>
    </row>
    <row r="957" spans="1:26" ht="15.5">
      <c r="A957" s="1"/>
      <c r="B957" s="1"/>
      <c r="C957" s="1"/>
      <c r="D957" s="1"/>
      <c r="E957" s="1"/>
      <c r="F957" s="1"/>
      <c r="G957" s="1"/>
      <c r="H957" s="49"/>
      <c r="I957" s="49"/>
      <c r="J957" s="49"/>
      <c r="K957" s="49"/>
      <c r="L957" s="49"/>
      <c r="M957" s="49"/>
      <c r="N957" s="49"/>
      <c r="O957" s="49"/>
      <c r="P957" s="49"/>
      <c r="Q957" s="49"/>
      <c r="R957" s="49"/>
      <c r="S957" s="49"/>
      <c r="T957" s="49"/>
      <c r="U957" s="49"/>
      <c r="V957" s="49"/>
      <c r="W957" s="49"/>
      <c r="X957" s="49"/>
      <c r="Y957" s="49"/>
      <c r="Z957" s="49"/>
    </row>
    <row r="958" spans="1:26" ht="15.5">
      <c r="A958" s="1"/>
      <c r="B958" s="1"/>
      <c r="C958" s="1"/>
      <c r="D958" s="1"/>
      <c r="E958" s="1"/>
      <c r="F958" s="1"/>
      <c r="G958" s="1"/>
      <c r="H958" s="49"/>
      <c r="I958" s="49"/>
      <c r="J958" s="49"/>
      <c r="K958" s="49"/>
      <c r="L958" s="49"/>
      <c r="M958" s="49"/>
      <c r="N958" s="49"/>
      <c r="O958" s="49"/>
      <c r="P958" s="49"/>
      <c r="Q958" s="49"/>
      <c r="R958" s="49"/>
      <c r="S958" s="49"/>
      <c r="T958" s="49"/>
      <c r="U958" s="49"/>
      <c r="V958" s="49"/>
      <c r="W958" s="49"/>
      <c r="X958" s="49"/>
      <c r="Y958" s="49"/>
      <c r="Z958" s="49"/>
    </row>
    <row r="959" spans="1:26" ht="15.5">
      <c r="A959" s="1"/>
      <c r="B959" s="1"/>
      <c r="C959" s="1"/>
      <c r="D959" s="1"/>
      <c r="E959" s="1"/>
      <c r="F959" s="1"/>
      <c r="G959" s="1"/>
      <c r="H959" s="49"/>
      <c r="I959" s="49"/>
      <c r="J959" s="49"/>
      <c r="K959" s="49"/>
      <c r="L959" s="49"/>
      <c r="M959" s="49"/>
      <c r="N959" s="49"/>
      <c r="O959" s="49"/>
      <c r="P959" s="49"/>
      <c r="Q959" s="49"/>
      <c r="R959" s="49"/>
      <c r="S959" s="49"/>
      <c r="T959" s="49"/>
      <c r="U959" s="49"/>
      <c r="V959" s="49"/>
      <c r="W959" s="49"/>
      <c r="X959" s="49"/>
      <c r="Y959" s="49"/>
      <c r="Z959" s="49"/>
    </row>
    <row r="960" spans="1:26" ht="15.5">
      <c r="A960" s="1"/>
      <c r="B960" s="1"/>
      <c r="C960" s="1"/>
      <c r="D960" s="1"/>
      <c r="E960" s="1"/>
      <c r="F960" s="1"/>
      <c r="G960" s="1"/>
      <c r="H960" s="49"/>
      <c r="I960" s="49"/>
      <c r="J960" s="49"/>
      <c r="K960" s="49"/>
      <c r="L960" s="49"/>
      <c r="M960" s="49"/>
      <c r="N960" s="49"/>
      <c r="O960" s="49"/>
      <c r="P960" s="49"/>
      <c r="Q960" s="49"/>
      <c r="R960" s="49"/>
      <c r="S960" s="49"/>
      <c r="T960" s="49"/>
      <c r="U960" s="49"/>
      <c r="V960" s="49"/>
      <c r="W960" s="49"/>
      <c r="X960" s="49"/>
      <c r="Y960" s="49"/>
      <c r="Z960" s="49"/>
    </row>
    <row r="961" spans="1:26" ht="15.5">
      <c r="A961" s="1"/>
      <c r="B961" s="1"/>
      <c r="C961" s="1"/>
      <c r="D961" s="1"/>
      <c r="E961" s="1"/>
      <c r="F961" s="1"/>
      <c r="G961" s="1"/>
      <c r="H961" s="49"/>
      <c r="I961" s="49"/>
      <c r="J961" s="49"/>
      <c r="K961" s="49"/>
      <c r="L961" s="49"/>
      <c r="M961" s="49"/>
      <c r="N961" s="49"/>
      <c r="O961" s="49"/>
      <c r="P961" s="49"/>
      <c r="Q961" s="49"/>
      <c r="R961" s="49"/>
      <c r="S961" s="49"/>
      <c r="T961" s="49"/>
      <c r="U961" s="49"/>
      <c r="V961" s="49"/>
      <c r="W961" s="49"/>
      <c r="X961" s="49"/>
      <c r="Y961" s="49"/>
      <c r="Z961" s="49"/>
    </row>
    <row r="962" spans="1:26" ht="15.5">
      <c r="A962" s="1"/>
      <c r="B962" s="1"/>
      <c r="C962" s="1"/>
      <c r="D962" s="1"/>
      <c r="E962" s="1"/>
      <c r="F962" s="1"/>
      <c r="G962" s="1"/>
      <c r="H962" s="49"/>
      <c r="I962" s="49"/>
      <c r="J962" s="49"/>
      <c r="K962" s="49"/>
      <c r="L962" s="49"/>
      <c r="M962" s="49"/>
      <c r="N962" s="49"/>
      <c r="O962" s="49"/>
      <c r="P962" s="49"/>
      <c r="Q962" s="49"/>
      <c r="R962" s="49"/>
      <c r="S962" s="49"/>
      <c r="T962" s="49"/>
      <c r="U962" s="49"/>
      <c r="V962" s="49"/>
      <c r="W962" s="49"/>
      <c r="X962" s="49"/>
      <c r="Y962" s="49"/>
      <c r="Z962" s="49"/>
    </row>
    <row r="963" spans="1:26" ht="15.5">
      <c r="A963" s="1"/>
      <c r="B963" s="1"/>
      <c r="C963" s="1"/>
      <c r="D963" s="1"/>
      <c r="E963" s="1"/>
      <c r="F963" s="1"/>
      <c r="G963" s="1"/>
      <c r="H963" s="49"/>
      <c r="I963" s="49"/>
      <c r="J963" s="49"/>
      <c r="K963" s="49"/>
      <c r="L963" s="49"/>
      <c r="M963" s="49"/>
      <c r="N963" s="49"/>
      <c r="O963" s="49"/>
      <c r="P963" s="49"/>
      <c r="Q963" s="49"/>
      <c r="R963" s="49"/>
      <c r="S963" s="49"/>
      <c r="T963" s="49"/>
      <c r="U963" s="49"/>
      <c r="V963" s="49"/>
      <c r="W963" s="49"/>
      <c r="X963" s="49"/>
      <c r="Y963" s="49"/>
      <c r="Z963" s="49"/>
    </row>
    <row r="964" spans="1:26" ht="15.5">
      <c r="A964" s="1"/>
      <c r="B964" s="1"/>
      <c r="C964" s="1"/>
      <c r="D964" s="1"/>
      <c r="E964" s="1"/>
      <c r="F964" s="1"/>
      <c r="G964" s="1"/>
      <c r="H964" s="49"/>
      <c r="I964" s="49"/>
      <c r="J964" s="49"/>
      <c r="K964" s="49"/>
      <c r="L964" s="49"/>
      <c r="M964" s="49"/>
      <c r="N964" s="49"/>
      <c r="O964" s="49"/>
      <c r="P964" s="49"/>
      <c r="Q964" s="49"/>
      <c r="R964" s="49"/>
      <c r="S964" s="49"/>
      <c r="T964" s="49"/>
      <c r="U964" s="49"/>
      <c r="V964" s="49"/>
      <c r="W964" s="49"/>
      <c r="X964" s="49"/>
      <c r="Y964" s="49"/>
      <c r="Z964" s="49"/>
    </row>
    <row r="965" spans="1:26" ht="15.5">
      <c r="A965" s="1"/>
      <c r="B965" s="1"/>
      <c r="C965" s="1"/>
      <c r="D965" s="1"/>
      <c r="E965" s="1"/>
      <c r="F965" s="1"/>
      <c r="G965" s="1"/>
      <c r="H965" s="49"/>
      <c r="I965" s="49"/>
      <c r="J965" s="49"/>
      <c r="K965" s="49"/>
      <c r="L965" s="49"/>
      <c r="M965" s="49"/>
      <c r="N965" s="49"/>
      <c r="O965" s="49"/>
      <c r="P965" s="49"/>
      <c r="Q965" s="49"/>
      <c r="R965" s="49"/>
      <c r="S965" s="49"/>
      <c r="T965" s="49"/>
      <c r="U965" s="49"/>
      <c r="V965" s="49"/>
      <c r="W965" s="49"/>
      <c r="X965" s="49"/>
      <c r="Y965" s="49"/>
      <c r="Z965" s="49"/>
    </row>
    <row r="966" spans="1:26" ht="15.5">
      <c r="A966" s="1"/>
      <c r="B966" s="1"/>
      <c r="C966" s="1"/>
      <c r="D966" s="1"/>
      <c r="E966" s="1"/>
      <c r="F966" s="1"/>
      <c r="G966" s="1"/>
      <c r="H966" s="49"/>
      <c r="I966" s="49"/>
      <c r="J966" s="49"/>
      <c r="K966" s="49"/>
      <c r="L966" s="49"/>
      <c r="M966" s="49"/>
      <c r="N966" s="49"/>
      <c r="O966" s="49"/>
      <c r="P966" s="49"/>
      <c r="Q966" s="49"/>
      <c r="R966" s="49"/>
      <c r="S966" s="49"/>
      <c r="T966" s="49"/>
      <c r="U966" s="49"/>
      <c r="V966" s="49"/>
      <c r="W966" s="49"/>
      <c r="X966" s="49"/>
      <c r="Y966" s="49"/>
      <c r="Z966" s="49"/>
    </row>
    <row r="967" spans="1:26" ht="15.5">
      <c r="A967" s="1"/>
      <c r="B967" s="1"/>
      <c r="C967" s="1"/>
      <c r="D967" s="1"/>
      <c r="E967" s="1"/>
      <c r="F967" s="1"/>
      <c r="G967" s="1"/>
      <c r="H967" s="49"/>
      <c r="I967" s="49"/>
      <c r="J967" s="49"/>
      <c r="K967" s="49"/>
      <c r="L967" s="49"/>
      <c r="M967" s="49"/>
      <c r="N967" s="49"/>
      <c r="O967" s="49"/>
      <c r="P967" s="49"/>
      <c r="Q967" s="49"/>
      <c r="R967" s="49"/>
      <c r="S967" s="49"/>
      <c r="T967" s="49"/>
      <c r="U967" s="49"/>
      <c r="V967" s="49"/>
      <c r="W967" s="49"/>
      <c r="X967" s="49"/>
      <c r="Y967" s="49"/>
      <c r="Z967" s="49"/>
    </row>
    <row r="968" spans="1:26" ht="15.5">
      <c r="A968" s="1"/>
      <c r="B968" s="1"/>
      <c r="C968" s="1"/>
      <c r="D968" s="1"/>
      <c r="E968" s="1"/>
      <c r="F968" s="1"/>
      <c r="G968" s="1"/>
      <c r="H968" s="49"/>
      <c r="I968" s="49"/>
      <c r="J968" s="49"/>
      <c r="K968" s="49"/>
      <c r="L968" s="49"/>
      <c r="M968" s="49"/>
      <c r="N968" s="49"/>
      <c r="O968" s="49"/>
      <c r="P968" s="49"/>
      <c r="Q968" s="49"/>
      <c r="R968" s="49"/>
      <c r="S968" s="49"/>
      <c r="T968" s="49"/>
      <c r="U968" s="49"/>
      <c r="V968" s="49"/>
      <c r="W968" s="49"/>
      <c r="X968" s="49"/>
      <c r="Y968" s="49"/>
      <c r="Z968" s="49"/>
    </row>
    <row r="969" spans="1:26" ht="15.5">
      <c r="A969" s="1"/>
      <c r="B969" s="1"/>
      <c r="C969" s="1"/>
      <c r="D969" s="1"/>
      <c r="E969" s="1"/>
      <c r="F969" s="1"/>
      <c r="G969" s="1"/>
      <c r="H969" s="49"/>
      <c r="I969" s="49"/>
      <c r="J969" s="49"/>
      <c r="K969" s="49"/>
      <c r="L969" s="49"/>
      <c r="M969" s="49"/>
      <c r="N969" s="49"/>
      <c r="O969" s="49"/>
      <c r="P969" s="49"/>
      <c r="Q969" s="49"/>
      <c r="R969" s="49"/>
      <c r="S969" s="49"/>
      <c r="T969" s="49"/>
      <c r="U969" s="49"/>
      <c r="V969" s="49"/>
      <c r="W969" s="49"/>
      <c r="X969" s="49"/>
      <c r="Y969" s="49"/>
      <c r="Z969" s="49"/>
    </row>
    <row r="970" spans="1:26" ht="15.5">
      <c r="A970" s="1"/>
      <c r="B970" s="1"/>
      <c r="C970" s="1"/>
      <c r="D970" s="1"/>
      <c r="E970" s="1"/>
      <c r="F970" s="1"/>
      <c r="G970" s="1"/>
      <c r="H970" s="49"/>
      <c r="I970" s="49"/>
      <c r="J970" s="49"/>
      <c r="K970" s="49"/>
      <c r="L970" s="49"/>
      <c r="M970" s="49"/>
      <c r="N970" s="49"/>
      <c r="O970" s="49"/>
      <c r="P970" s="49"/>
      <c r="Q970" s="49"/>
      <c r="R970" s="49"/>
      <c r="S970" s="49"/>
      <c r="T970" s="49"/>
      <c r="U970" s="49"/>
      <c r="V970" s="49"/>
      <c r="W970" s="49"/>
      <c r="X970" s="49"/>
      <c r="Y970" s="49"/>
      <c r="Z970" s="49"/>
    </row>
    <row r="971" spans="1:26" ht="15.5">
      <c r="A971" s="1"/>
      <c r="B971" s="1"/>
      <c r="C971" s="1"/>
      <c r="D971" s="1"/>
      <c r="E971" s="1"/>
      <c r="F971" s="1"/>
      <c r="G971" s="1"/>
      <c r="H971" s="49"/>
      <c r="I971" s="49"/>
      <c r="J971" s="49"/>
      <c r="K971" s="49"/>
      <c r="L971" s="49"/>
      <c r="M971" s="49"/>
      <c r="N971" s="49"/>
      <c r="O971" s="49"/>
      <c r="P971" s="49"/>
      <c r="Q971" s="49"/>
      <c r="R971" s="49"/>
      <c r="S971" s="49"/>
      <c r="T971" s="49"/>
      <c r="U971" s="49"/>
      <c r="V971" s="49"/>
      <c r="W971" s="49"/>
      <c r="X971" s="49"/>
      <c r="Y971" s="49"/>
      <c r="Z971" s="49"/>
    </row>
    <row r="972" spans="1:26" ht="15.5">
      <c r="A972" s="1"/>
      <c r="B972" s="1"/>
      <c r="C972" s="1"/>
      <c r="D972" s="1"/>
      <c r="E972" s="1"/>
      <c r="F972" s="1"/>
      <c r="G972" s="1"/>
      <c r="H972" s="49"/>
      <c r="I972" s="49"/>
      <c r="J972" s="49"/>
      <c r="K972" s="49"/>
      <c r="L972" s="49"/>
      <c r="M972" s="49"/>
      <c r="N972" s="49"/>
      <c r="O972" s="49"/>
      <c r="P972" s="49"/>
      <c r="Q972" s="49"/>
      <c r="R972" s="49"/>
      <c r="S972" s="49"/>
      <c r="T972" s="49"/>
      <c r="U972" s="49"/>
      <c r="V972" s="49"/>
      <c r="W972" s="49"/>
      <c r="X972" s="49"/>
      <c r="Y972" s="49"/>
      <c r="Z972" s="49"/>
    </row>
    <row r="973" spans="1:26" ht="15.5">
      <c r="A973" s="1"/>
      <c r="B973" s="1"/>
      <c r="C973" s="1"/>
      <c r="D973" s="1"/>
      <c r="E973" s="1"/>
      <c r="F973" s="1"/>
      <c r="G973" s="1"/>
      <c r="H973" s="49"/>
      <c r="I973" s="49"/>
      <c r="J973" s="49"/>
      <c r="K973" s="49"/>
      <c r="L973" s="49"/>
      <c r="M973" s="49"/>
      <c r="N973" s="49"/>
      <c r="O973" s="49"/>
      <c r="P973" s="49"/>
      <c r="Q973" s="49"/>
      <c r="R973" s="49"/>
      <c r="S973" s="49"/>
      <c r="T973" s="49"/>
      <c r="U973" s="49"/>
      <c r="V973" s="49"/>
      <c r="W973" s="49"/>
      <c r="X973" s="49"/>
      <c r="Y973" s="49"/>
      <c r="Z973" s="49"/>
    </row>
    <row r="974" spans="1:26" ht="15.5">
      <c r="A974" s="1"/>
      <c r="B974" s="1"/>
      <c r="C974" s="1"/>
      <c r="D974" s="1"/>
      <c r="E974" s="1"/>
      <c r="F974" s="1"/>
      <c r="G974" s="1"/>
      <c r="H974" s="49"/>
      <c r="I974" s="49"/>
      <c r="J974" s="49"/>
      <c r="K974" s="49"/>
      <c r="L974" s="49"/>
      <c r="M974" s="49"/>
      <c r="N974" s="49"/>
      <c r="O974" s="49"/>
      <c r="P974" s="49"/>
      <c r="Q974" s="49"/>
      <c r="R974" s="49"/>
      <c r="S974" s="49"/>
      <c r="T974" s="49"/>
      <c r="U974" s="49"/>
      <c r="V974" s="49"/>
      <c r="W974" s="49"/>
      <c r="X974" s="49"/>
      <c r="Y974" s="49"/>
      <c r="Z974" s="49"/>
    </row>
    <row r="975" spans="1:26" ht="15.5">
      <c r="A975" s="1"/>
      <c r="B975" s="1"/>
      <c r="C975" s="1"/>
      <c r="D975" s="1"/>
      <c r="E975" s="1"/>
      <c r="F975" s="1"/>
      <c r="G975" s="1"/>
      <c r="H975" s="49"/>
      <c r="I975" s="49"/>
      <c r="J975" s="49"/>
      <c r="K975" s="49"/>
      <c r="L975" s="49"/>
      <c r="M975" s="49"/>
      <c r="N975" s="49"/>
      <c r="O975" s="49"/>
      <c r="P975" s="49"/>
      <c r="Q975" s="49"/>
      <c r="R975" s="49"/>
      <c r="S975" s="49"/>
      <c r="T975" s="49"/>
      <c r="U975" s="49"/>
      <c r="V975" s="49"/>
      <c r="W975" s="49"/>
      <c r="X975" s="49"/>
      <c r="Y975" s="49"/>
      <c r="Z975" s="49"/>
    </row>
    <row r="976" spans="1:26" ht="15.5">
      <c r="A976" s="1"/>
      <c r="B976" s="1"/>
      <c r="C976" s="1"/>
      <c r="D976" s="1"/>
      <c r="E976" s="1"/>
      <c r="F976" s="1"/>
      <c r="G976" s="1"/>
      <c r="H976" s="49"/>
      <c r="I976" s="49"/>
      <c r="J976" s="49"/>
      <c r="K976" s="49"/>
      <c r="L976" s="49"/>
      <c r="M976" s="49"/>
      <c r="N976" s="49"/>
      <c r="O976" s="49"/>
      <c r="P976" s="49"/>
      <c r="Q976" s="49"/>
      <c r="R976" s="49"/>
      <c r="S976" s="49"/>
      <c r="T976" s="49"/>
      <c r="U976" s="49"/>
      <c r="V976" s="49"/>
      <c r="W976" s="49"/>
      <c r="X976" s="49"/>
      <c r="Y976" s="49"/>
      <c r="Z976" s="49"/>
    </row>
    <row r="977" spans="1:26" ht="15.5">
      <c r="A977" s="1"/>
      <c r="B977" s="1"/>
      <c r="C977" s="1"/>
      <c r="D977" s="1"/>
      <c r="E977" s="1"/>
      <c r="F977" s="1"/>
      <c r="G977" s="1"/>
      <c r="H977" s="49"/>
      <c r="I977" s="49"/>
      <c r="J977" s="49"/>
      <c r="K977" s="49"/>
      <c r="L977" s="49"/>
      <c r="M977" s="49"/>
      <c r="N977" s="49"/>
      <c r="O977" s="49"/>
      <c r="P977" s="49"/>
      <c r="Q977" s="49"/>
      <c r="R977" s="49"/>
      <c r="S977" s="49"/>
      <c r="T977" s="49"/>
      <c r="U977" s="49"/>
      <c r="V977" s="49"/>
      <c r="W977" s="49"/>
      <c r="X977" s="49"/>
      <c r="Y977" s="49"/>
      <c r="Z977" s="49"/>
    </row>
    <row r="978" spans="1:26" ht="15.5">
      <c r="A978" s="1"/>
      <c r="B978" s="1"/>
      <c r="C978" s="1"/>
      <c r="D978" s="1"/>
      <c r="E978" s="1"/>
      <c r="F978" s="1"/>
      <c r="G978" s="1"/>
      <c r="H978" s="49"/>
      <c r="I978" s="49"/>
      <c r="J978" s="49"/>
      <c r="K978" s="49"/>
      <c r="L978" s="49"/>
      <c r="M978" s="49"/>
      <c r="N978" s="49"/>
      <c r="O978" s="49"/>
      <c r="P978" s="49"/>
      <c r="Q978" s="49"/>
      <c r="R978" s="49"/>
      <c r="S978" s="49"/>
      <c r="T978" s="49"/>
      <c r="U978" s="49"/>
      <c r="V978" s="49"/>
      <c r="W978" s="49"/>
      <c r="X978" s="49"/>
      <c r="Y978" s="49"/>
      <c r="Z978" s="49"/>
    </row>
    <row r="979" spans="1:26" ht="15.5">
      <c r="A979" s="1"/>
      <c r="B979" s="1"/>
      <c r="C979" s="1"/>
      <c r="D979" s="1"/>
      <c r="E979" s="1"/>
      <c r="F979" s="1"/>
      <c r="G979" s="1"/>
      <c r="H979" s="49"/>
      <c r="I979" s="49"/>
      <c r="J979" s="49"/>
      <c r="K979" s="49"/>
      <c r="L979" s="49"/>
      <c r="M979" s="49"/>
      <c r="N979" s="49"/>
      <c r="O979" s="49"/>
      <c r="P979" s="49"/>
      <c r="Q979" s="49"/>
      <c r="R979" s="49"/>
      <c r="S979" s="49"/>
      <c r="T979" s="49"/>
      <c r="U979" s="49"/>
      <c r="V979" s="49"/>
      <c r="W979" s="49"/>
      <c r="X979" s="49"/>
      <c r="Y979" s="49"/>
      <c r="Z979" s="49"/>
    </row>
    <row r="980" spans="1:26" ht="15.5">
      <c r="A980" s="1"/>
      <c r="B980" s="1"/>
      <c r="C980" s="1"/>
      <c r="D980" s="1"/>
      <c r="E980" s="1"/>
      <c r="F980" s="1"/>
      <c r="G980" s="1"/>
      <c r="H980" s="49"/>
      <c r="I980" s="49"/>
      <c r="J980" s="49"/>
      <c r="K980" s="49"/>
      <c r="L980" s="49"/>
      <c r="M980" s="49"/>
      <c r="N980" s="49"/>
      <c r="O980" s="49"/>
      <c r="P980" s="49"/>
      <c r="Q980" s="49"/>
      <c r="R980" s="49"/>
      <c r="S980" s="49"/>
      <c r="T980" s="49"/>
      <c r="U980" s="49"/>
      <c r="V980" s="49"/>
      <c r="W980" s="49"/>
      <c r="X980" s="49"/>
      <c r="Y980" s="49"/>
      <c r="Z980" s="49"/>
    </row>
    <row r="981" spans="1:26" ht="15.5">
      <c r="A981" s="1"/>
      <c r="B981" s="1"/>
      <c r="C981" s="1"/>
      <c r="D981" s="1"/>
      <c r="E981" s="1"/>
      <c r="F981" s="1"/>
      <c r="G981" s="1"/>
      <c r="H981" s="49"/>
      <c r="I981" s="49"/>
      <c r="J981" s="49"/>
      <c r="K981" s="49"/>
      <c r="L981" s="49"/>
      <c r="M981" s="49"/>
      <c r="N981" s="49"/>
      <c r="O981" s="49"/>
      <c r="P981" s="49"/>
      <c r="Q981" s="49"/>
      <c r="R981" s="49"/>
      <c r="S981" s="49"/>
      <c r="T981" s="49"/>
      <c r="U981" s="49"/>
      <c r="V981" s="49"/>
      <c r="W981" s="49"/>
      <c r="X981" s="49"/>
      <c r="Y981" s="49"/>
      <c r="Z981" s="49"/>
    </row>
    <row r="982" spans="1:26" ht="15.5">
      <c r="A982" s="1"/>
      <c r="B982" s="1"/>
      <c r="C982" s="1"/>
      <c r="D982" s="1"/>
      <c r="E982" s="1"/>
      <c r="F982" s="1"/>
      <c r="G982" s="1"/>
      <c r="H982" s="49"/>
      <c r="I982" s="49"/>
      <c r="J982" s="49"/>
      <c r="K982" s="49"/>
      <c r="L982" s="49"/>
      <c r="M982" s="49"/>
      <c r="N982" s="49"/>
      <c r="O982" s="49"/>
      <c r="P982" s="49"/>
      <c r="Q982" s="49"/>
      <c r="R982" s="49"/>
      <c r="S982" s="49"/>
      <c r="T982" s="49"/>
      <c r="U982" s="49"/>
      <c r="V982" s="49"/>
      <c r="W982" s="49"/>
      <c r="X982" s="49"/>
      <c r="Y982" s="49"/>
      <c r="Z982" s="49"/>
    </row>
    <row r="983" spans="1:26" ht="15.5">
      <c r="A983" s="1"/>
      <c r="B983" s="1"/>
      <c r="C983" s="1"/>
      <c r="D983" s="1"/>
      <c r="E983" s="1"/>
      <c r="F983" s="1"/>
      <c r="G983" s="1"/>
      <c r="H983" s="49"/>
      <c r="I983" s="49"/>
      <c r="J983" s="49"/>
      <c r="K983" s="49"/>
      <c r="L983" s="49"/>
      <c r="M983" s="49"/>
      <c r="N983" s="49"/>
      <c r="O983" s="49"/>
      <c r="P983" s="49"/>
      <c r="Q983" s="49"/>
      <c r="R983" s="49"/>
      <c r="S983" s="49"/>
      <c r="T983" s="49"/>
      <c r="U983" s="49"/>
      <c r="V983" s="49"/>
      <c r="W983" s="49"/>
      <c r="X983" s="49"/>
      <c r="Y983" s="49"/>
      <c r="Z983" s="49"/>
    </row>
    <row r="984" spans="1:26" ht="15.5">
      <c r="A984" s="1"/>
      <c r="B984" s="1"/>
      <c r="C984" s="1"/>
      <c r="D984" s="1"/>
      <c r="E984" s="1"/>
      <c r="F984" s="1"/>
      <c r="G984" s="1"/>
      <c r="H984" s="49"/>
      <c r="I984" s="49"/>
      <c r="J984" s="49"/>
      <c r="K984" s="49"/>
      <c r="L984" s="49"/>
      <c r="M984" s="49"/>
      <c r="N984" s="49"/>
      <c r="O984" s="49"/>
      <c r="P984" s="49"/>
      <c r="Q984" s="49"/>
      <c r="R984" s="49"/>
      <c r="S984" s="49"/>
      <c r="T984" s="49"/>
      <c r="U984" s="49"/>
      <c r="V984" s="49"/>
      <c r="W984" s="49"/>
      <c r="X984" s="49"/>
      <c r="Y984" s="49"/>
      <c r="Z984" s="49"/>
    </row>
    <row r="985" spans="1:26" ht="15.5">
      <c r="A985" s="1"/>
      <c r="B985" s="1"/>
      <c r="C985" s="1"/>
      <c r="D985" s="1"/>
      <c r="E985" s="1"/>
      <c r="F985" s="1"/>
      <c r="G985" s="1"/>
      <c r="H985" s="49"/>
      <c r="I985" s="49"/>
      <c r="J985" s="49"/>
      <c r="K985" s="49"/>
      <c r="L985" s="49"/>
      <c r="M985" s="49"/>
      <c r="N985" s="49"/>
      <c r="O985" s="49"/>
      <c r="P985" s="49"/>
      <c r="Q985" s="49"/>
      <c r="R985" s="49"/>
      <c r="S985" s="49"/>
      <c r="T985" s="49"/>
      <c r="U985" s="49"/>
      <c r="V985" s="49"/>
      <c r="W985" s="49"/>
      <c r="X985" s="49"/>
      <c r="Y985" s="49"/>
      <c r="Z985" s="49"/>
    </row>
    <row r="986" spans="1:26" ht="15.5">
      <c r="A986" s="1"/>
      <c r="B986" s="1"/>
      <c r="C986" s="1"/>
      <c r="D986" s="1"/>
      <c r="E986" s="1"/>
      <c r="F986" s="1"/>
      <c r="G986" s="1"/>
      <c r="H986" s="49"/>
      <c r="I986" s="49"/>
      <c r="J986" s="49"/>
      <c r="K986" s="49"/>
      <c r="L986" s="49"/>
      <c r="M986" s="49"/>
      <c r="N986" s="49"/>
      <c r="O986" s="49"/>
      <c r="P986" s="49"/>
      <c r="Q986" s="49"/>
      <c r="R986" s="49"/>
      <c r="S986" s="49"/>
      <c r="T986" s="49"/>
      <c r="U986" s="49"/>
      <c r="V986" s="49"/>
      <c r="W986" s="49"/>
      <c r="X986" s="49"/>
      <c r="Y986" s="49"/>
      <c r="Z986" s="49"/>
    </row>
    <row r="987" spans="1:26" ht="15.5">
      <c r="A987" s="1"/>
      <c r="B987" s="1"/>
      <c r="C987" s="1"/>
      <c r="D987" s="1"/>
      <c r="E987" s="1"/>
      <c r="F987" s="1"/>
      <c r="G987" s="1"/>
      <c r="H987" s="49"/>
      <c r="I987" s="49"/>
      <c r="J987" s="49"/>
      <c r="K987" s="49"/>
      <c r="L987" s="49"/>
      <c r="M987" s="49"/>
      <c r="N987" s="49"/>
      <c r="O987" s="49"/>
      <c r="P987" s="49"/>
      <c r="Q987" s="49"/>
      <c r="R987" s="49"/>
      <c r="S987" s="49"/>
      <c r="T987" s="49"/>
      <c r="U987" s="49"/>
      <c r="V987" s="49"/>
      <c r="W987" s="49"/>
      <c r="X987" s="49"/>
      <c r="Y987" s="49"/>
      <c r="Z987" s="49"/>
    </row>
    <row r="988" spans="1:26" ht="15.5">
      <c r="A988" s="1"/>
      <c r="B988" s="1"/>
      <c r="C988" s="1"/>
      <c r="D988" s="1"/>
      <c r="E988" s="1"/>
      <c r="F988" s="1"/>
      <c r="G988" s="1"/>
      <c r="H988" s="49"/>
      <c r="I988" s="49"/>
      <c r="J988" s="49"/>
      <c r="K988" s="49"/>
      <c r="L988" s="49"/>
      <c r="M988" s="49"/>
      <c r="N988" s="49"/>
      <c r="O988" s="49"/>
      <c r="P988" s="49"/>
      <c r="Q988" s="49"/>
      <c r="R988" s="49"/>
      <c r="S988" s="49"/>
      <c r="T988" s="49"/>
      <c r="U988" s="49"/>
      <c r="V988" s="49"/>
      <c r="W988" s="49"/>
      <c r="X988" s="49"/>
      <c r="Y988" s="49"/>
      <c r="Z988" s="49"/>
    </row>
    <row r="989" spans="1:26" ht="15.5">
      <c r="A989" s="1"/>
      <c r="B989" s="1"/>
      <c r="C989" s="1"/>
      <c r="D989" s="1"/>
      <c r="E989" s="1"/>
      <c r="F989" s="1"/>
      <c r="G989" s="1"/>
      <c r="H989" s="49"/>
      <c r="I989" s="49"/>
      <c r="J989" s="49"/>
      <c r="K989" s="49"/>
      <c r="L989" s="49"/>
      <c r="M989" s="49"/>
      <c r="N989" s="49"/>
      <c r="O989" s="49"/>
      <c r="P989" s="49"/>
      <c r="Q989" s="49"/>
      <c r="R989" s="49"/>
      <c r="S989" s="49"/>
      <c r="T989" s="49"/>
      <c r="U989" s="49"/>
      <c r="V989" s="49"/>
      <c r="W989" s="49"/>
      <c r="X989" s="49"/>
      <c r="Y989" s="49"/>
      <c r="Z989" s="49"/>
    </row>
    <row r="990" spans="1:26" ht="15.5">
      <c r="A990" s="1"/>
      <c r="B990" s="1"/>
      <c r="C990" s="1"/>
      <c r="D990" s="1"/>
      <c r="E990" s="1"/>
      <c r="F990" s="1"/>
      <c r="G990" s="1"/>
      <c r="H990" s="49"/>
      <c r="I990" s="49"/>
      <c r="J990" s="49"/>
      <c r="K990" s="49"/>
      <c r="L990" s="49"/>
      <c r="M990" s="49"/>
      <c r="N990" s="49"/>
      <c r="O990" s="49"/>
      <c r="P990" s="49"/>
      <c r="Q990" s="49"/>
      <c r="R990" s="49"/>
      <c r="S990" s="49"/>
      <c r="T990" s="49"/>
      <c r="U990" s="49"/>
      <c r="V990" s="49"/>
      <c r="W990" s="49"/>
      <c r="X990" s="49"/>
      <c r="Y990" s="49"/>
      <c r="Z990" s="49"/>
    </row>
    <row r="991" spans="1:26" ht="15.5">
      <c r="A991" s="1"/>
      <c r="B991" s="1"/>
      <c r="C991" s="1"/>
      <c r="D991" s="1"/>
      <c r="E991" s="1"/>
      <c r="F991" s="1"/>
      <c r="G991" s="1"/>
      <c r="H991" s="49"/>
      <c r="I991" s="49"/>
      <c r="J991" s="49"/>
      <c r="K991" s="49"/>
      <c r="L991" s="49"/>
      <c r="M991" s="49"/>
      <c r="N991" s="49"/>
      <c r="O991" s="49"/>
      <c r="P991" s="49"/>
      <c r="Q991" s="49"/>
      <c r="R991" s="49"/>
      <c r="S991" s="49"/>
      <c r="T991" s="49"/>
      <c r="U991" s="49"/>
      <c r="V991" s="49"/>
      <c r="W991" s="49"/>
      <c r="X991" s="49"/>
      <c r="Y991" s="49"/>
      <c r="Z991" s="49"/>
    </row>
    <row r="992" spans="1:26" ht="15.5">
      <c r="A992" s="1"/>
      <c r="B992" s="1"/>
      <c r="C992" s="1"/>
      <c r="D992" s="1"/>
      <c r="E992" s="1"/>
      <c r="F992" s="1"/>
      <c r="G992" s="1"/>
      <c r="H992" s="49"/>
      <c r="I992" s="49"/>
      <c r="J992" s="49"/>
      <c r="K992" s="49"/>
      <c r="L992" s="49"/>
      <c r="M992" s="49"/>
      <c r="N992" s="49"/>
      <c r="O992" s="49"/>
      <c r="P992" s="49"/>
      <c r="Q992" s="49"/>
      <c r="R992" s="49"/>
      <c r="S992" s="49"/>
      <c r="T992" s="49"/>
      <c r="U992" s="49"/>
      <c r="V992" s="49"/>
      <c r="W992" s="49"/>
      <c r="X992" s="49"/>
      <c r="Y992" s="49"/>
      <c r="Z992" s="49"/>
    </row>
    <row r="993" spans="1:26" ht="15.5">
      <c r="A993" s="1"/>
      <c r="B993" s="1"/>
      <c r="C993" s="1"/>
      <c r="D993" s="1"/>
      <c r="E993" s="1"/>
      <c r="F993" s="1"/>
      <c r="G993" s="1"/>
      <c r="H993" s="49"/>
      <c r="I993" s="49"/>
      <c r="J993" s="49"/>
      <c r="K993" s="49"/>
      <c r="L993" s="49"/>
      <c r="M993" s="49"/>
      <c r="N993" s="49"/>
      <c r="O993" s="49"/>
      <c r="P993" s="49"/>
      <c r="Q993" s="49"/>
      <c r="R993" s="49"/>
      <c r="S993" s="49"/>
      <c r="T993" s="49"/>
      <c r="U993" s="49"/>
      <c r="V993" s="49"/>
      <c r="W993" s="49"/>
      <c r="X993" s="49"/>
      <c r="Y993" s="49"/>
      <c r="Z993" s="49"/>
    </row>
    <row r="994" spans="1:26" ht="15.5">
      <c r="A994" s="1"/>
      <c r="B994" s="1"/>
      <c r="C994" s="1"/>
      <c r="D994" s="1"/>
      <c r="E994" s="1"/>
      <c r="F994" s="1"/>
      <c r="G994" s="1"/>
      <c r="H994" s="49"/>
      <c r="I994" s="49"/>
      <c r="J994" s="49"/>
      <c r="K994" s="49"/>
      <c r="L994" s="49"/>
      <c r="M994" s="49"/>
      <c r="N994" s="49"/>
      <c r="O994" s="49"/>
      <c r="P994" s="49"/>
      <c r="Q994" s="49"/>
      <c r="R994" s="49"/>
      <c r="S994" s="49"/>
      <c r="T994" s="49"/>
      <c r="U994" s="49"/>
      <c r="V994" s="49"/>
      <c r="W994" s="49"/>
      <c r="X994" s="49"/>
      <c r="Y994" s="49"/>
      <c r="Z994" s="49"/>
    </row>
    <row r="995" spans="1:26" ht="15.5">
      <c r="A995" s="1"/>
      <c r="B995" s="1"/>
      <c r="C995" s="1"/>
      <c r="D995" s="1"/>
      <c r="E995" s="1"/>
      <c r="F995" s="1"/>
      <c r="G995" s="1"/>
      <c r="H995" s="49"/>
      <c r="I995" s="49"/>
      <c r="J995" s="49"/>
      <c r="K995" s="49"/>
      <c r="L995" s="49"/>
      <c r="M995" s="49"/>
      <c r="N995" s="49"/>
      <c r="O995" s="49"/>
      <c r="P995" s="49"/>
      <c r="Q995" s="49"/>
      <c r="R995" s="49"/>
      <c r="S995" s="49"/>
      <c r="T995" s="49"/>
      <c r="U995" s="49"/>
      <c r="V995" s="49"/>
      <c r="W995" s="49"/>
      <c r="X995" s="49"/>
      <c r="Y995" s="49"/>
      <c r="Z995" s="49"/>
    </row>
    <row r="996" spans="1:26" ht="15.5">
      <c r="A996" s="1"/>
      <c r="B996" s="1"/>
      <c r="C996" s="1"/>
      <c r="D996" s="1"/>
      <c r="E996" s="1"/>
      <c r="F996" s="1"/>
      <c r="G996" s="1"/>
      <c r="H996" s="49"/>
      <c r="I996" s="49"/>
      <c r="J996" s="49"/>
      <c r="K996" s="49"/>
      <c r="L996" s="49"/>
      <c r="M996" s="49"/>
      <c r="N996" s="49"/>
      <c r="O996" s="49"/>
      <c r="P996" s="49"/>
      <c r="Q996" s="49"/>
      <c r="R996" s="49"/>
      <c r="S996" s="49"/>
      <c r="T996" s="49"/>
      <c r="U996" s="49"/>
      <c r="V996" s="49"/>
      <c r="W996" s="49"/>
      <c r="X996" s="49"/>
      <c r="Y996" s="49"/>
      <c r="Z996" s="49"/>
    </row>
    <row r="997" spans="1:26" ht="15.5">
      <c r="A997" s="1"/>
      <c r="B997" s="1"/>
      <c r="C997" s="1"/>
      <c r="D997" s="1"/>
      <c r="E997" s="1"/>
      <c r="F997" s="1"/>
      <c r="G997" s="1"/>
      <c r="H997" s="49"/>
      <c r="I997" s="49"/>
      <c r="J997" s="49"/>
      <c r="K997" s="49"/>
      <c r="L997" s="49"/>
      <c r="M997" s="49"/>
      <c r="N997" s="49"/>
      <c r="O997" s="49"/>
      <c r="P997" s="49"/>
      <c r="Q997" s="49"/>
      <c r="R997" s="49"/>
      <c r="S997" s="49"/>
      <c r="T997" s="49"/>
      <c r="U997" s="49"/>
      <c r="V997" s="49"/>
      <c r="W997" s="49"/>
      <c r="X997" s="49"/>
      <c r="Y997" s="49"/>
      <c r="Z997" s="49"/>
    </row>
    <row r="998" spans="1:26" ht="15.5">
      <c r="A998" s="1"/>
      <c r="B998" s="1"/>
      <c r="C998" s="1"/>
      <c r="D998" s="1"/>
      <c r="E998" s="1"/>
      <c r="F998" s="1"/>
      <c r="G998" s="1"/>
      <c r="H998" s="49"/>
      <c r="I998" s="49"/>
      <c r="J998" s="49"/>
      <c r="K998" s="49"/>
      <c r="L998" s="49"/>
      <c r="M998" s="49"/>
      <c r="N998" s="49"/>
      <c r="O998" s="49"/>
      <c r="P998" s="49"/>
      <c r="Q998" s="49"/>
      <c r="R998" s="49"/>
      <c r="S998" s="49"/>
      <c r="T998" s="49"/>
      <c r="U998" s="49"/>
      <c r="V998" s="49"/>
      <c r="W998" s="49"/>
      <c r="X998" s="49"/>
      <c r="Y998" s="49"/>
      <c r="Z998" s="49"/>
    </row>
    <row r="999" spans="1:26" ht="15.5">
      <c r="A999" s="1"/>
      <c r="B999" s="1"/>
      <c r="C999" s="1"/>
      <c r="D999" s="1"/>
      <c r="E999" s="1"/>
      <c r="F999" s="1"/>
      <c r="G999" s="1"/>
      <c r="H999" s="49"/>
      <c r="I999" s="49"/>
      <c r="J999" s="49"/>
      <c r="K999" s="49"/>
      <c r="L999" s="49"/>
      <c r="M999" s="49"/>
      <c r="N999" s="49"/>
      <c r="O999" s="49"/>
      <c r="P999" s="49"/>
      <c r="Q999" s="49"/>
      <c r="R999" s="49"/>
      <c r="S999" s="49"/>
      <c r="T999" s="49"/>
      <c r="U999" s="49"/>
      <c r="V999" s="49"/>
      <c r="W999" s="49"/>
      <c r="X999" s="49"/>
      <c r="Y999" s="49"/>
      <c r="Z999" s="49"/>
    </row>
    <row r="1000" spans="1:26" ht="15.5">
      <c r="A1000" s="1"/>
      <c r="B1000" s="1"/>
      <c r="C1000" s="1"/>
      <c r="D1000" s="1"/>
      <c r="E1000" s="1"/>
      <c r="F1000" s="1"/>
      <c r="G1000" s="1"/>
      <c r="H1000" s="49"/>
      <c r="I1000" s="49"/>
      <c r="J1000" s="49"/>
      <c r="K1000" s="49"/>
      <c r="L1000" s="49"/>
      <c r="M1000" s="49"/>
      <c r="N1000" s="49"/>
      <c r="O1000" s="49"/>
      <c r="P1000" s="49"/>
      <c r="Q1000" s="49"/>
      <c r="R1000" s="49"/>
      <c r="S1000" s="49"/>
      <c r="T1000" s="49"/>
      <c r="U1000" s="49"/>
      <c r="V1000" s="49"/>
      <c r="W1000" s="49"/>
      <c r="X1000" s="49"/>
      <c r="Y1000" s="49"/>
      <c r="Z1000" s="49"/>
    </row>
    <row r="1001" spans="1:26" ht="15.5">
      <c r="A1001" s="1"/>
      <c r="B1001" s="1"/>
      <c r="C1001" s="1"/>
      <c r="D1001" s="1"/>
      <c r="E1001" s="1"/>
      <c r="F1001" s="1"/>
      <c r="G1001" s="1"/>
      <c r="H1001" s="49"/>
      <c r="I1001" s="49"/>
      <c r="J1001" s="49"/>
      <c r="K1001" s="49"/>
      <c r="L1001" s="49"/>
      <c r="M1001" s="49"/>
      <c r="N1001" s="49"/>
      <c r="O1001" s="49"/>
      <c r="P1001" s="49"/>
      <c r="Q1001" s="49"/>
      <c r="R1001" s="49"/>
      <c r="S1001" s="49"/>
      <c r="T1001" s="49"/>
      <c r="U1001" s="49"/>
      <c r="V1001" s="49"/>
      <c r="W1001" s="49"/>
      <c r="X1001" s="49"/>
      <c r="Y1001" s="49"/>
      <c r="Z1001" s="49"/>
    </row>
    <row r="1002" spans="1:26" ht="15.5">
      <c r="A1002" s="1"/>
      <c r="B1002" s="1"/>
      <c r="C1002" s="1"/>
      <c r="D1002" s="1"/>
      <c r="E1002" s="1"/>
      <c r="F1002" s="1"/>
      <c r="G1002" s="1"/>
      <c r="H1002" s="49"/>
      <c r="I1002" s="49"/>
      <c r="J1002" s="49"/>
      <c r="K1002" s="49"/>
      <c r="L1002" s="49"/>
      <c r="M1002" s="49"/>
      <c r="N1002" s="49"/>
      <c r="O1002" s="49"/>
      <c r="P1002" s="49"/>
      <c r="Q1002" s="49"/>
      <c r="R1002" s="49"/>
      <c r="S1002" s="49"/>
      <c r="T1002" s="49"/>
      <c r="U1002" s="49"/>
      <c r="V1002" s="49"/>
      <c r="W1002" s="49"/>
      <c r="X1002" s="49"/>
      <c r="Y1002" s="49"/>
      <c r="Z1002" s="49"/>
    </row>
    <row r="1003" spans="1:26" ht="15.5">
      <c r="A1003" s="1"/>
      <c r="B1003" s="1"/>
      <c r="C1003" s="1"/>
      <c r="D1003" s="1"/>
      <c r="E1003" s="1"/>
      <c r="F1003" s="1"/>
      <c r="G1003" s="1"/>
      <c r="H1003" s="49"/>
      <c r="I1003" s="49"/>
      <c r="J1003" s="49"/>
      <c r="K1003" s="49"/>
      <c r="L1003" s="49"/>
      <c r="M1003" s="49"/>
      <c r="N1003" s="49"/>
      <c r="O1003" s="49"/>
      <c r="P1003" s="49"/>
      <c r="Q1003" s="49"/>
      <c r="R1003" s="49"/>
      <c r="S1003" s="49"/>
      <c r="T1003" s="49"/>
      <c r="U1003" s="49"/>
      <c r="V1003" s="49"/>
      <c r="W1003" s="49"/>
      <c r="X1003" s="49"/>
      <c r="Y1003" s="49"/>
      <c r="Z1003" s="49"/>
    </row>
    <row r="1004" spans="1:26" ht="15.5">
      <c r="A1004" s="1"/>
      <c r="B1004" s="1"/>
      <c r="C1004" s="1"/>
      <c r="D1004" s="1"/>
      <c r="E1004" s="1"/>
      <c r="F1004" s="1"/>
      <c r="G1004" s="1"/>
      <c r="H1004" s="49"/>
      <c r="I1004" s="49"/>
      <c r="J1004" s="49"/>
      <c r="K1004" s="49"/>
      <c r="L1004" s="49"/>
      <c r="M1004" s="49"/>
      <c r="N1004" s="49"/>
      <c r="O1004" s="49"/>
      <c r="P1004" s="49"/>
      <c r="Q1004" s="49"/>
      <c r="R1004" s="49"/>
      <c r="S1004" s="49"/>
      <c r="T1004" s="49"/>
      <c r="U1004" s="49"/>
      <c r="V1004" s="49"/>
      <c r="W1004" s="49"/>
      <c r="X1004" s="49"/>
      <c r="Y1004" s="49"/>
      <c r="Z1004" s="49"/>
    </row>
    <row r="1005" spans="1:26" ht="15.5">
      <c r="A1005" s="1"/>
      <c r="B1005" s="1"/>
      <c r="C1005" s="1"/>
      <c r="D1005" s="1"/>
      <c r="E1005" s="1"/>
      <c r="F1005" s="1"/>
      <c r="G1005" s="1"/>
      <c r="H1005" s="49"/>
      <c r="I1005" s="49"/>
      <c r="J1005" s="49"/>
      <c r="K1005" s="49"/>
      <c r="L1005" s="49"/>
      <c r="M1005" s="49"/>
      <c r="N1005" s="49"/>
      <c r="O1005" s="49"/>
      <c r="P1005" s="49"/>
      <c r="Q1005" s="49"/>
      <c r="R1005" s="49"/>
      <c r="S1005" s="49"/>
      <c r="T1005" s="49"/>
      <c r="U1005" s="49"/>
      <c r="V1005" s="49"/>
      <c r="W1005" s="49"/>
      <c r="X1005" s="49"/>
      <c r="Y1005" s="49"/>
      <c r="Z1005" s="49"/>
    </row>
    <row r="1006" spans="1:26" ht="15.5">
      <c r="A1006" s="1"/>
      <c r="B1006" s="1"/>
      <c r="C1006" s="1"/>
      <c r="D1006" s="1"/>
      <c r="E1006" s="1"/>
      <c r="F1006" s="1"/>
      <c r="G1006" s="1"/>
      <c r="H1006" s="49"/>
      <c r="I1006" s="49"/>
      <c r="J1006" s="49"/>
      <c r="K1006" s="49"/>
      <c r="L1006" s="49"/>
      <c r="M1006" s="49"/>
      <c r="N1006" s="49"/>
      <c r="O1006" s="49"/>
      <c r="P1006" s="49"/>
      <c r="Q1006" s="49"/>
      <c r="R1006" s="49"/>
      <c r="S1006" s="49"/>
      <c r="T1006" s="49"/>
      <c r="U1006" s="49"/>
      <c r="V1006" s="49"/>
      <c r="W1006" s="49"/>
      <c r="X1006" s="49"/>
      <c r="Y1006" s="49"/>
      <c r="Z1006" s="49"/>
    </row>
    <row r="1007" spans="1:26" ht="15.5">
      <c r="A1007" s="1"/>
      <c r="B1007" s="1"/>
      <c r="C1007" s="1"/>
      <c r="D1007" s="1"/>
      <c r="E1007" s="1"/>
      <c r="F1007" s="1"/>
      <c r="G1007" s="1"/>
      <c r="H1007" s="49"/>
      <c r="I1007" s="49"/>
      <c r="J1007" s="49"/>
      <c r="K1007" s="49"/>
      <c r="L1007" s="49"/>
      <c r="M1007" s="49"/>
      <c r="N1007" s="49"/>
      <c r="O1007" s="49"/>
      <c r="P1007" s="49"/>
      <c r="Q1007" s="49"/>
      <c r="R1007" s="49"/>
      <c r="S1007" s="49"/>
      <c r="T1007" s="49"/>
      <c r="U1007" s="49"/>
      <c r="V1007" s="49"/>
      <c r="W1007" s="49"/>
      <c r="X1007" s="49"/>
      <c r="Y1007" s="49"/>
      <c r="Z1007" s="49"/>
    </row>
  </sheetData>
  <mergeCells count="2">
    <mergeCell ref="A1:G1"/>
    <mergeCell ref="A4:M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sheetViews>
    <sheetView topLeftCell="A13" zoomScale="80" zoomScaleNormal="80" workbookViewId="0">
      <selection activeCell="F19" sqref="F19"/>
    </sheetView>
  </sheetViews>
  <sheetFormatPr defaultColWidth="12.6328125" defaultRowHeight="15.75" customHeight="1"/>
  <cols>
    <col min="2" max="2" width="11.6328125" customWidth="1"/>
    <col min="3" max="3" width="24.7265625" customWidth="1"/>
    <col min="4" max="4" width="21.453125" customWidth="1"/>
    <col min="5" max="5" width="15" customWidth="1"/>
    <col min="6" max="6" width="23.26953125" customWidth="1"/>
    <col min="7" max="7" width="15.90625" customWidth="1"/>
    <col min="8" max="8" width="23.6328125" customWidth="1"/>
    <col min="9" max="9" width="15.453125" customWidth="1"/>
    <col min="10" max="10" width="16.6328125" customWidth="1"/>
    <col min="11" max="11" width="20.08984375" customWidth="1"/>
  </cols>
  <sheetData>
    <row r="1" spans="1:26" ht="15.75" customHeight="1">
      <c r="A1" t="s" s="72">
        <v>238</v>
      </c>
      <c r="B1" s="73"/>
      <c r="C1" s="73"/>
      <c r="D1" s="73"/>
      <c r="E1" s="73"/>
      <c r="F1" s="73"/>
      <c r="G1" s="73"/>
      <c r="H1" s="73"/>
      <c r="I1" s="73"/>
      <c r="J1" s="73"/>
      <c r="K1" s="73"/>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t="s" s="74">
        <v>239</v>
      </c>
      <c r="B4" s="73"/>
      <c r="C4" s="73"/>
      <c r="D4" s="73"/>
      <c r="E4" s="73"/>
      <c r="F4" s="73"/>
      <c r="G4" s="73"/>
      <c r="H4" s="73"/>
      <c r="I4" s="73"/>
      <c r="J4" s="73"/>
      <c r="K4" s="73"/>
      <c r="L4" s="1"/>
      <c r="M4" s="1"/>
      <c r="N4" s="1"/>
      <c r="O4" s="1"/>
      <c r="P4" s="1"/>
      <c r="Q4" s="1"/>
      <c r="R4" s="1"/>
      <c r="S4" s="1"/>
      <c r="T4" s="1"/>
      <c r="U4" s="1"/>
      <c r="V4" s="1"/>
      <c r="W4" s="1"/>
      <c r="X4" s="1"/>
      <c r="Y4" s="1"/>
      <c r="Z4" s="1"/>
    </row>
    <row r="5" spans="1:26" ht="15.75" customHeight="1">
      <c r="A5" t="s" s="66">
        <v>240</v>
      </c>
      <c r="B5" t="s" s="66">
        <v>241</v>
      </c>
      <c r="C5" t="s" s="66">
        <v>242</v>
      </c>
      <c r="D5" t="s" s="66">
        <v>243</v>
      </c>
      <c r="E5" t="s" s="66">
        <v>244</v>
      </c>
      <c r="F5" t="s" s="66">
        <v>397</v>
      </c>
      <c r="G5" t="s" s="66">
        <v>245</v>
      </c>
      <c r="H5" t="s" s="66">
        <v>246</v>
      </c>
      <c r="I5" t="s" s="66">
        <v>247</v>
      </c>
      <c r="J5" t="s" s="66">
        <v>46</v>
      </c>
      <c r="K5" t="s" s="66">
        <v>248</v>
      </c>
      <c r="L5" s="1"/>
      <c r="M5" s="1"/>
      <c r="N5" s="1"/>
      <c r="O5" s="1"/>
      <c r="P5" s="1"/>
      <c r="Q5" s="1"/>
      <c r="R5" s="1"/>
      <c r="S5" s="1"/>
      <c r="T5" s="1"/>
      <c r="U5" s="1"/>
      <c r="V5" s="1"/>
      <c r="W5" s="1"/>
      <c r="X5" s="1"/>
      <c r="Y5" s="1"/>
      <c r="Z5" s="1"/>
    </row>
    <row r="6" spans="1:26" ht="15.75" customHeight="1">
      <c r="A6" s="66">
        <v>1</v>
      </c>
      <c r="B6" s="66">
        <v>2668</v>
      </c>
      <c r="C6" t="s" s="66">
        <v>361</v>
      </c>
      <c r="D6" t="s" s="66">
        <v>249</v>
      </c>
      <c r="E6" s="67">
        <v>4</v>
      </c>
      <c r="F6" s="533">
        <v>72800000000</v>
      </c>
      <c r="G6" s="543"/>
      <c r="H6" s="553">
        <v>681300</v>
      </c>
      <c r="I6" s="563"/>
      <c r="J6" s="573">
        <v>72800000000</v>
      </c>
      <c r="K6" s="583">
        <v>681300</v>
      </c>
      <c r="L6" s="1"/>
      <c r="M6" s="1"/>
      <c r="N6" s="1"/>
      <c r="O6" s="1"/>
      <c r="P6" s="1"/>
      <c r="Q6" s="1"/>
      <c r="R6" s="1"/>
      <c r="S6" s="1"/>
      <c r="T6" s="1"/>
      <c r="U6" s="1"/>
      <c r="V6" s="1"/>
      <c r="W6" s="1"/>
      <c r="X6" s="1"/>
      <c r="Y6" s="1"/>
      <c r="Z6" s="1"/>
    </row>
    <row r="7" spans="1:26" ht="15.75" customHeight="1">
      <c r="A7" s="66">
        <v>2</v>
      </c>
      <c r="B7" s="66">
        <v>5</v>
      </c>
      <c r="C7" t="s" s="66">
        <v>346</v>
      </c>
      <c r="D7" t="s" s="66">
        <v>249</v>
      </c>
      <c r="E7" s="67">
        <v>3</v>
      </c>
      <c r="F7" s="534">
        <v>43000000000</v>
      </c>
      <c r="G7" s="544"/>
      <c r="H7" s="554">
        <v>180600</v>
      </c>
      <c r="I7" s="564">
        <v>7.99</v>
      </c>
      <c r="J7" s="574">
        <v>43000000000</v>
      </c>
      <c r="K7" s="584">
        <v>180600</v>
      </c>
      <c r="L7" s="1"/>
      <c r="M7" s="1"/>
      <c r="N7" s="1"/>
      <c r="O7" s="1"/>
      <c r="P7" s="1"/>
      <c r="Q7" s="1"/>
      <c r="R7" s="1"/>
      <c r="S7" s="1"/>
      <c r="T7" s="1"/>
      <c r="U7" s="1"/>
      <c r="V7" s="1"/>
      <c r="W7" s="1"/>
      <c r="X7" s="1"/>
      <c r="Y7" s="1"/>
      <c r="Z7" s="1"/>
    </row>
    <row r="8" spans="1:26" ht="15.75" customHeight="1">
      <c r="A8" s="66">
        <v>3</v>
      </c>
      <c r="B8" s="66">
        <v>4</v>
      </c>
      <c r="C8" t="s" s="66">
        <v>366</v>
      </c>
      <c r="D8" t="s" s="66">
        <v>249</v>
      </c>
      <c r="E8" s="67">
        <v>39</v>
      </c>
      <c r="F8" s="535">
        <v>35000000000</v>
      </c>
      <c r="G8" s="545">
        <v>4.96</v>
      </c>
      <c r="H8" s="555">
        <v>55000</v>
      </c>
      <c r="I8" s="565">
        <v>4.61</v>
      </c>
      <c r="J8" s="575">
        <v>35000000000</v>
      </c>
      <c r="K8" s="585">
        <v>55000</v>
      </c>
      <c r="L8" s="1"/>
      <c r="M8" s="1"/>
      <c r="N8" s="1"/>
      <c r="O8" s="1"/>
      <c r="P8" s="1"/>
      <c r="Q8" s="1"/>
      <c r="R8" s="1"/>
      <c r="S8" s="1"/>
      <c r="T8" s="1"/>
      <c r="U8" s="1"/>
      <c r="V8" s="1"/>
      <c r="W8" s="1"/>
      <c r="X8" s="1"/>
      <c r="Y8" s="1"/>
      <c r="Z8" s="1"/>
    </row>
    <row r="9" spans="1:26" ht="15.75" customHeight="1">
      <c r="A9" s="66">
        <v>4</v>
      </c>
      <c r="B9" s="66">
        <v>3567</v>
      </c>
      <c r="C9" t="s" s="66">
        <v>398</v>
      </c>
      <c r="D9" t="s" s="66">
        <v>249</v>
      </c>
      <c r="E9" s="67">
        <v>43</v>
      </c>
      <c r="F9" s="536">
        <v>12600000000</v>
      </c>
      <c r="G9" s="546"/>
      <c r="H9" s="556">
        <v>28100</v>
      </c>
      <c r="I9" s="566"/>
      <c r="J9" s="576">
        <v>12600000000</v>
      </c>
      <c r="K9" s="586">
        <v>28100</v>
      </c>
      <c r="L9" s="1"/>
      <c r="M9" s="1"/>
      <c r="N9" s="1"/>
      <c r="O9" s="1"/>
      <c r="P9" s="1"/>
      <c r="Q9" s="1"/>
      <c r="R9" s="1"/>
      <c r="S9" s="1"/>
      <c r="T9" s="1"/>
      <c r="U9" s="1"/>
      <c r="V9" s="1"/>
      <c r="W9" s="1"/>
      <c r="X9" s="1"/>
      <c r="Y9" s="1"/>
      <c r="Z9" s="1"/>
    </row>
    <row r="10" spans="1:26" ht="15.75" customHeight="1">
      <c r="A10" s="66">
        <v>5</v>
      </c>
      <c r="B10" s="66">
        <v>1</v>
      </c>
      <c r="C10" t="s" s="66">
        <v>368</v>
      </c>
      <c r="D10" t="s" s="66">
        <v>249</v>
      </c>
      <c r="E10" s="67">
        <v>28</v>
      </c>
      <c r="F10" s="537">
        <v>11700000000</v>
      </c>
      <c r="G10" s="547">
        <v>0.12</v>
      </c>
      <c r="H10" s="557">
        <v>20900</v>
      </c>
      <c r="I10" s="567">
        <v>-0.2</v>
      </c>
      <c r="J10" s="577">
        <v>11700000000</v>
      </c>
      <c r="K10" s="587">
        <v>20900</v>
      </c>
      <c r="L10" s="1"/>
      <c r="M10" s="1"/>
      <c r="N10" s="1"/>
      <c r="O10" s="1"/>
      <c r="P10" s="1"/>
      <c r="Q10" s="1"/>
      <c r="R10" s="1"/>
      <c r="S10" s="1"/>
      <c r="T10" s="1"/>
      <c r="U10" s="1"/>
      <c r="V10" s="1"/>
      <c r="W10" s="1"/>
      <c r="X10" s="1"/>
      <c r="Y10" s="1"/>
      <c r="Z10" s="1"/>
    </row>
    <row r="11" spans="1:26" ht="15.75" customHeight="1">
      <c r="A11" s="66">
        <v>6</v>
      </c>
      <c r="B11" s="66">
        <v>465</v>
      </c>
      <c r="C11" t="s" s="66">
        <v>399</v>
      </c>
      <c r="D11" t="s" s="66">
        <v>249</v>
      </c>
      <c r="E11" s="67">
        <v>35</v>
      </c>
      <c r="F11" s="538">
        <v>11500000000</v>
      </c>
      <c r="G11" s="548"/>
      <c r="H11" s="558">
        <v>14300</v>
      </c>
      <c r="I11" s="568"/>
      <c r="J11" s="578">
        <v>11500000000</v>
      </c>
      <c r="K11" s="588">
        <v>14300</v>
      </c>
      <c r="L11" s="1"/>
      <c r="M11" s="1"/>
      <c r="N11" s="1"/>
      <c r="O11" s="1"/>
      <c r="P11" s="1"/>
      <c r="Q11" s="1"/>
      <c r="R11" s="1"/>
      <c r="S11" s="1"/>
      <c r="T11" s="1"/>
      <c r="U11" s="1"/>
      <c r="V11" s="1"/>
      <c r="W11" s="1"/>
      <c r="X11" s="1"/>
      <c r="Y11" s="1"/>
      <c r="Z11" s="1"/>
    </row>
    <row r="12" spans="1:26" ht="15.75" customHeight="1">
      <c r="A12" s="66">
        <v>7</v>
      </c>
      <c r="B12" s="66">
        <v>2</v>
      </c>
      <c r="C12" t="s" s="66">
        <v>400</v>
      </c>
      <c r="D12" t="s" s="66">
        <v>249</v>
      </c>
      <c r="E12" s="67">
        <v>36</v>
      </c>
      <c r="F12" s="539">
        <v>10900000000</v>
      </c>
      <c r="G12" s="549">
        <v>0.33</v>
      </c>
      <c r="H12" s="559">
        <v>14600</v>
      </c>
      <c r="I12" s="569">
        <v>-0.08</v>
      </c>
      <c r="J12" s="579">
        <v>10900000000</v>
      </c>
      <c r="K12" s="589">
        <v>14600</v>
      </c>
      <c r="L12" s="1"/>
      <c r="M12" s="1"/>
      <c r="N12" s="1"/>
      <c r="O12" s="1"/>
      <c r="P12" s="1"/>
      <c r="Q12" s="1"/>
      <c r="R12" s="1"/>
      <c r="S12" s="1"/>
      <c r="T12" s="1"/>
      <c r="U12" s="1"/>
      <c r="V12" s="1"/>
      <c r="W12" s="1"/>
      <c r="X12" s="1"/>
      <c r="Y12" s="1"/>
      <c r="Z12" s="1"/>
    </row>
    <row r="13" spans="1:26" ht="15.75" customHeight="1">
      <c r="A13" s="66">
        <v>8</v>
      </c>
      <c r="B13" s="66">
        <v>39</v>
      </c>
      <c r="C13" t="s" s="66">
        <v>378</v>
      </c>
      <c r="D13" t="s" s="66">
        <v>249</v>
      </c>
      <c r="E13" s="67">
        <v>6</v>
      </c>
      <c r="F13" s="540">
        <v>9500000000</v>
      </c>
      <c r="G13" s="550"/>
      <c r="H13" s="560">
        <v>18300</v>
      </c>
      <c r="I13" s="570"/>
      <c r="J13" s="580">
        <v>9500000000</v>
      </c>
      <c r="K13" s="590">
        <v>18300</v>
      </c>
      <c r="L13" s="1"/>
      <c r="M13" s="1"/>
      <c r="N13" s="1"/>
      <c r="O13" s="1"/>
      <c r="P13" s="1"/>
      <c r="Q13" s="1"/>
      <c r="R13" s="1"/>
      <c r="S13" s="1"/>
      <c r="T13" s="1"/>
      <c r="U13" s="1"/>
      <c r="V13" s="1"/>
      <c r="W13" s="1"/>
      <c r="X13" s="1"/>
      <c r="Y13" s="1"/>
      <c r="Z13" s="1"/>
    </row>
    <row r="14" spans="1:26" ht="15.75" customHeight="1">
      <c r="A14" s="66">
        <v>9</v>
      </c>
      <c r="B14" s="66">
        <v>17</v>
      </c>
      <c r="C14" t="s" s="66">
        <v>390</v>
      </c>
      <c r="D14" t="s" s="66">
        <v>249</v>
      </c>
      <c r="E14" s="67">
        <v>15</v>
      </c>
      <c r="F14" s="541">
        <v>8900000000</v>
      </c>
      <c r="G14" s="551">
        <v>6.54</v>
      </c>
      <c r="H14" s="561">
        <v>54500</v>
      </c>
      <c r="I14" s="571">
        <v>5.97</v>
      </c>
      <c r="J14" s="581">
        <v>8900000000</v>
      </c>
      <c r="K14" s="591">
        <v>54500</v>
      </c>
      <c r="L14" s="1"/>
      <c r="M14" s="1"/>
      <c r="N14" s="1"/>
      <c r="O14" s="1"/>
      <c r="P14" s="1"/>
      <c r="Q14" s="1"/>
      <c r="R14" s="1"/>
      <c r="S14" s="1"/>
      <c r="T14" s="1"/>
      <c r="U14" s="1"/>
      <c r="V14" s="1"/>
      <c r="W14" s="1"/>
      <c r="X14" s="1"/>
      <c r="Y14" s="1"/>
      <c r="Z14" s="1"/>
    </row>
    <row r="15" spans="1:26" ht="15.75" customHeight="1">
      <c r="A15" s="66">
        <v>10</v>
      </c>
      <c r="B15" s="66">
        <v>3234</v>
      </c>
      <c r="C15" t="s" s="66">
        <v>392</v>
      </c>
      <c r="D15" t="s" s="66">
        <v>249</v>
      </c>
      <c r="E15" s="67">
        <v>5</v>
      </c>
      <c r="F15" s="542">
        <v>7800000000</v>
      </c>
      <c r="G15" s="552"/>
      <c r="H15" s="562">
        <v>10900</v>
      </c>
      <c r="I15" s="572"/>
      <c r="J15" s="582">
        <v>7800000000</v>
      </c>
      <c r="K15" s="592">
        <v>10900</v>
      </c>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7">
        <f t="shared" ref="C19:C29" si="0">C5</f>
      </c>
      <c r="D19" s="18">
        <f t="shared" ref="D19:D29" si="1">F5</f>
      </c>
      <c r="E19" s="18"/>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34">
        <f t="shared" si="0"/>
      </c>
      <c r="D20" s="13">
        <f t="shared" si="1"/>
      </c>
      <c r="E20" s="48"/>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34">
        <f t="shared" si="0"/>
      </c>
      <c r="D21" s="13">
        <f t="shared" si="1"/>
      </c>
      <c r="E21" s="48"/>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34">
        <f t="shared" si="0"/>
      </c>
      <c r="D22" s="13">
        <f t="shared" si="1"/>
      </c>
      <c r="E22" s="48"/>
      <c r="F22" s="1"/>
      <c r="G22" s="1"/>
      <c r="H22" s="1"/>
      <c r="I22" s="1"/>
      <c r="J22" s="1"/>
      <c r="K22" s="1"/>
      <c r="L22" s="1"/>
      <c r="M22" s="1"/>
      <c r="N22" s="1"/>
      <c r="O22" s="1"/>
      <c r="P22" s="1"/>
      <c r="Q22" s="1"/>
      <c r="R22" s="1"/>
      <c r="S22" s="1"/>
      <c r="T22" s="1"/>
      <c r="U22" s="1"/>
      <c r="V22" s="1"/>
      <c r="W22" s="1"/>
      <c r="X22" s="1"/>
      <c r="Y22" s="1"/>
      <c r="Z22" s="1"/>
    </row>
    <row r="23" spans="1:26" ht="15.5">
      <c r="A23" s="1"/>
      <c r="B23" s="1"/>
      <c r="C23" s="34">
        <f t="shared" si="0"/>
      </c>
      <c r="D23" s="13">
        <f t="shared" si="1"/>
      </c>
      <c r="E23" s="48"/>
      <c r="F23" s="1"/>
      <c r="G23" s="1"/>
      <c r="H23" s="1"/>
      <c r="I23" s="1"/>
      <c r="J23" s="1"/>
      <c r="K23" s="1"/>
      <c r="L23" s="1"/>
      <c r="M23" s="1"/>
      <c r="N23" s="1"/>
      <c r="O23" s="1"/>
      <c r="P23" s="1"/>
      <c r="Q23" s="1"/>
      <c r="R23" s="1"/>
      <c r="S23" s="1"/>
      <c r="T23" s="1"/>
      <c r="U23" s="1"/>
      <c r="V23" s="1"/>
      <c r="W23" s="1"/>
      <c r="X23" s="1"/>
      <c r="Y23" s="1"/>
      <c r="Z23" s="1"/>
    </row>
    <row r="24" spans="1:26" ht="31">
      <c r="A24" s="1"/>
      <c r="B24" s="1"/>
      <c r="C24" s="34">
        <f t="shared" si="0"/>
      </c>
      <c r="D24" s="13">
        <f t="shared" si="1"/>
      </c>
      <c r="E24" s="48"/>
      <c r="F24" s="1"/>
      <c r="G24" s="1"/>
      <c r="H24" s="1"/>
      <c r="I24" s="1"/>
      <c r="J24" s="1"/>
      <c r="K24" s="1"/>
      <c r="L24" s="1"/>
      <c r="M24" s="1"/>
      <c r="N24" s="1"/>
      <c r="O24" s="1"/>
      <c r="P24" s="1"/>
      <c r="Q24" s="1"/>
      <c r="R24" s="1"/>
      <c r="S24" s="1"/>
      <c r="T24" s="1"/>
      <c r="U24" s="1"/>
      <c r="V24" s="1"/>
      <c r="W24" s="1"/>
      <c r="X24" s="1"/>
      <c r="Y24" s="1"/>
      <c r="Z24" s="1"/>
    </row>
    <row r="25" spans="1:26" ht="15.5">
      <c r="A25" s="1"/>
      <c r="B25" s="1"/>
      <c r="C25" s="34">
        <f t="shared" si="0"/>
      </c>
      <c r="D25" s="13">
        <f t="shared" si="1"/>
      </c>
      <c r="E25" s="48"/>
      <c r="F25" s="1"/>
      <c r="G25" s="1"/>
      <c r="H25" s="1"/>
      <c r="I25" s="1"/>
      <c r="J25" s="1"/>
      <c r="K25" s="1"/>
      <c r="L25" s="1"/>
      <c r="M25" s="1"/>
      <c r="N25" s="1"/>
      <c r="O25" s="1"/>
      <c r="P25" s="1"/>
      <c r="Q25" s="1"/>
      <c r="R25" s="1"/>
      <c r="S25" s="1"/>
      <c r="T25" s="1"/>
      <c r="U25" s="1"/>
      <c r="V25" s="1"/>
      <c r="W25" s="1"/>
      <c r="X25" s="1"/>
      <c r="Y25" s="1"/>
      <c r="Z25" s="1"/>
    </row>
    <row r="26" spans="1:26" ht="31">
      <c r="A26" s="1"/>
      <c r="B26" s="1"/>
      <c r="C26" s="34">
        <f t="shared" si="0"/>
      </c>
      <c r="D26" s="13">
        <f t="shared" si="1"/>
      </c>
      <c r="E26" s="48"/>
      <c r="F26" s="1"/>
      <c r="G26" s="1"/>
      <c r="H26" s="1"/>
      <c r="I26" s="1"/>
      <c r="J26" s="1"/>
      <c r="K26" s="1"/>
      <c r="L26" s="1"/>
      <c r="M26" s="1"/>
      <c r="N26" s="1"/>
      <c r="O26" s="1"/>
      <c r="P26" s="1"/>
      <c r="Q26" s="1"/>
      <c r="R26" s="1"/>
      <c r="S26" s="1"/>
      <c r="T26" s="1"/>
      <c r="U26" s="1"/>
      <c r="V26" s="1"/>
      <c r="W26" s="1"/>
      <c r="X26" s="1"/>
      <c r="Y26" s="1"/>
      <c r="Z26" s="1"/>
    </row>
    <row r="27" spans="1:26" ht="31">
      <c r="A27" s="1"/>
      <c r="B27" s="1"/>
      <c r="C27" s="34">
        <f t="shared" si="0"/>
      </c>
      <c r="D27" s="13">
        <f t="shared" si="1"/>
      </c>
      <c r="E27" s="48"/>
      <c r="F27" s="1"/>
      <c r="G27" s="1"/>
      <c r="H27" s="1"/>
      <c r="I27" s="1"/>
      <c r="J27" s="1"/>
      <c r="K27" s="1"/>
      <c r="L27" s="1"/>
      <c r="M27" s="1"/>
      <c r="N27" s="1"/>
      <c r="O27" s="1"/>
      <c r="P27" s="1"/>
      <c r="Q27" s="1"/>
      <c r="R27" s="1"/>
      <c r="S27" s="1"/>
      <c r="T27" s="1"/>
      <c r="U27" s="1"/>
      <c r="V27" s="1"/>
      <c r="W27" s="1"/>
      <c r="X27" s="1"/>
      <c r="Y27" s="1"/>
      <c r="Z27" s="1"/>
    </row>
    <row r="28" spans="1:26" ht="15.5">
      <c r="A28" s="1"/>
      <c r="B28" s="1"/>
      <c r="C28" s="34">
        <f t="shared" si="0"/>
      </c>
      <c r="D28" s="13">
        <f t="shared" si="1"/>
      </c>
      <c r="E28" s="48"/>
      <c r="F28" s="1"/>
      <c r="G28" s="1"/>
      <c r="H28" s="1"/>
      <c r="I28" s="1"/>
      <c r="J28" s="1"/>
      <c r="K28" s="1"/>
      <c r="L28" s="1"/>
      <c r="M28" s="1"/>
      <c r="N28" s="1"/>
      <c r="O28" s="1"/>
      <c r="P28" s="1"/>
      <c r="Q28" s="1"/>
      <c r="R28" s="1"/>
      <c r="S28" s="1"/>
      <c r="T28" s="1"/>
      <c r="U28" s="1"/>
      <c r="V28" s="1"/>
      <c r="W28" s="1"/>
      <c r="X28" s="1"/>
      <c r="Y28" s="1"/>
      <c r="Z28" s="1"/>
    </row>
    <row r="29" spans="1:26" ht="15.5">
      <c r="A29" s="1"/>
      <c r="B29" s="1"/>
      <c r="C29" s="34">
        <f t="shared" si="0"/>
      </c>
      <c r="D29" s="13">
        <f t="shared" si="1"/>
      </c>
      <c r="E29" s="48"/>
      <c r="F29" s="1"/>
      <c r="G29" s="1"/>
      <c r="H29" s="1"/>
      <c r="I29" s="1"/>
      <c r="J29" s="1"/>
      <c r="K29" s="1"/>
      <c r="L29" s="1"/>
      <c r="M29" s="1"/>
      <c r="N29" s="1"/>
      <c r="O29" s="1"/>
      <c r="P29" s="1"/>
      <c r="Q29" s="1"/>
      <c r="R29" s="1"/>
      <c r="S29" s="1"/>
      <c r="T29" s="1"/>
      <c r="U29" s="1"/>
      <c r="V29" s="1"/>
      <c r="W29" s="1"/>
      <c r="X29" s="1"/>
      <c r="Y29" s="1"/>
      <c r="Z29" s="1"/>
    </row>
    <row r="30" spans="1:26" ht="15.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A1:K1"/>
    <mergeCell ref="A4:K4"/>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sheetViews>
    <sheetView workbookViewId="0"/>
  </sheetViews>
  <sheetFormatPr defaultColWidth="12.6328125" defaultRowHeight="15.75" customHeight="1"/>
  <cols>
    <col min="1" max="1" width="15" customWidth="1"/>
    <col min="2" max="2" width="13.26953125" customWidth="1"/>
    <col min="3" max="3" width="25.6328125" customWidth="1"/>
    <col min="4" max="4" width="20.6328125" customWidth="1"/>
    <col min="5" max="5" width="27.36328125" customWidth="1"/>
    <col min="6" max="6" width="17.6328125" customWidth="1"/>
    <col min="7" max="7" width="22.7265625" customWidth="1"/>
    <col min="8" max="8" width="16.36328125" customWidth="1"/>
    <col min="9" max="9" width="18.7265625" customWidth="1"/>
    <col min="10" max="10" width="17.08984375" customWidth="1"/>
  </cols>
  <sheetData>
    <row r="1" spans="1:26" ht="15.75" customHeight="1">
      <c r="A1" t="s" s="72">
        <v>253</v>
      </c>
      <c r="B1" s="73"/>
      <c r="C1" s="73"/>
      <c r="D1" s="73"/>
      <c r="E1" s="73"/>
      <c r="F1" s="73"/>
      <c r="G1" s="73"/>
      <c r="H1" s="73"/>
      <c r="I1" s="73"/>
      <c r="J1" s="73"/>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t="s" s="76">
        <v>254</v>
      </c>
      <c r="B3" s="73"/>
      <c r="C3" s="73"/>
      <c r="D3" s="73"/>
      <c r="E3" s="73"/>
      <c r="F3" s="73"/>
      <c r="G3" s="73"/>
      <c r="H3" s="73"/>
      <c r="I3" s="73"/>
      <c r="J3" s="73"/>
      <c r="K3" s="2"/>
      <c r="L3" s="2"/>
      <c r="M3" s="2"/>
      <c r="N3" s="2"/>
      <c r="O3" s="2"/>
      <c r="P3" s="2"/>
      <c r="Q3" s="2"/>
      <c r="R3" s="2"/>
      <c r="S3" s="2"/>
      <c r="T3" s="2"/>
      <c r="U3" s="2"/>
      <c r="V3" s="2"/>
      <c r="W3" s="2"/>
      <c r="X3" s="2"/>
      <c r="Y3" s="2"/>
      <c r="Z3" s="2"/>
    </row>
    <row r="4" spans="1:26" ht="15.75" customHeight="1">
      <c r="A4" t="s" s="31">
        <v>240</v>
      </c>
      <c r="B4" t="s" s="31">
        <v>241</v>
      </c>
      <c r="C4" t="s" s="31">
        <v>162</v>
      </c>
      <c r="D4" t="s" s="31">
        <v>244</v>
      </c>
      <c r="E4" t="s" s="31">
        <v>397</v>
      </c>
      <c r="F4" t="s" s="31">
        <v>245</v>
      </c>
      <c r="G4" t="s" s="31">
        <v>246</v>
      </c>
      <c r="H4" t="s" s="31">
        <v>247</v>
      </c>
      <c r="I4" t="s" s="31">
        <v>46</v>
      </c>
      <c r="J4" t="s" s="31">
        <v>248</v>
      </c>
      <c r="K4" s="9"/>
      <c r="L4" s="9"/>
      <c r="M4" s="9"/>
      <c r="N4" s="9"/>
      <c r="O4" s="9"/>
      <c r="P4" s="9"/>
      <c r="Q4" s="9"/>
      <c r="R4" s="9"/>
      <c r="S4" s="9"/>
      <c r="T4" s="9"/>
      <c r="U4" s="9"/>
      <c r="V4" s="9"/>
      <c r="W4" s="9"/>
      <c r="X4" s="9"/>
      <c r="Y4" s="9"/>
      <c r="Z4" s="9"/>
    </row>
    <row r="5" spans="1:26" ht="15.75" customHeight="1">
      <c r="A5" s="8">
        <v>1</v>
      </c>
      <c r="B5" s="8">
        <v>712</v>
      </c>
      <c r="C5" t="s" s="8">
        <v>345</v>
      </c>
      <c r="D5" s="11">
        <v>18</v>
      </c>
      <c r="E5" s="593">
        <v>74800000000</v>
      </c>
      <c r="F5" s="603"/>
      <c r="G5" s="613">
        <v>694700</v>
      </c>
      <c r="H5" s="623"/>
      <c r="I5" s="633">
        <v>74800000000</v>
      </c>
      <c r="J5" s="643">
        <v>694700</v>
      </c>
      <c r="K5" s="2"/>
      <c r="L5" s="2"/>
      <c r="M5" s="2"/>
      <c r="N5" s="2"/>
      <c r="O5" s="2"/>
      <c r="P5" s="2"/>
      <c r="Q5" s="2"/>
      <c r="R5" s="2"/>
      <c r="S5" s="2"/>
      <c r="T5" s="2"/>
      <c r="U5" s="2"/>
      <c r="V5" s="2"/>
      <c r="W5" s="2"/>
      <c r="X5" s="2"/>
      <c r="Y5" s="2"/>
      <c r="Z5" s="2"/>
    </row>
    <row r="6" spans="1:26" ht="15.75" customHeight="1">
      <c r="A6" s="8">
        <v>2</v>
      </c>
      <c r="B6" s="8">
        <v>7</v>
      </c>
      <c r="C6" t="s" s="8">
        <v>346</v>
      </c>
      <c r="D6" s="11">
        <v>12</v>
      </c>
      <c r="E6" s="594">
        <v>50400000000</v>
      </c>
      <c r="F6" s="604"/>
      <c r="G6" s="614">
        <v>200200</v>
      </c>
      <c r="H6" s="624">
        <v>8.32</v>
      </c>
      <c r="I6" s="634">
        <v>50400000000</v>
      </c>
      <c r="J6" s="644">
        <v>200200</v>
      </c>
      <c r="K6" s="2"/>
      <c r="L6" s="2"/>
      <c r="M6" s="2"/>
      <c r="N6" s="2"/>
      <c r="O6" s="2"/>
      <c r="P6" s="2"/>
      <c r="Q6" s="2"/>
      <c r="R6" s="2"/>
      <c r="S6" s="2"/>
      <c r="T6" s="2"/>
      <c r="U6" s="2"/>
      <c r="V6" s="2"/>
      <c r="W6" s="2"/>
      <c r="X6" s="2"/>
      <c r="Y6" s="2"/>
      <c r="Z6" s="2"/>
    </row>
    <row r="7" spans="1:26" ht="15.75" customHeight="1">
      <c r="A7" s="8">
        <v>3</v>
      </c>
      <c r="B7" s="8">
        <v>6</v>
      </c>
      <c r="C7" t="s" s="8">
        <v>347</v>
      </c>
      <c r="D7" s="11">
        <v>82</v>
      </c>
      <c r="E7" s="595">
        <v>42200000000</v>
      </c>
      <c r="F7" s="605">
        <v>8.69</v>
      </c>
      <c r="G7" s="615">
        <v>83400</v>
      </c>
      <c r="H7" s="625">
        <v>5.49</v>
      </c>
      <c r="I7" s="635">
        <v>42200000000</v>
      </c>
      <c r="J7" s="645">
        <v>83400</v>
      </c>
      <c r="K7" s="2"/>
      <c r="L7" s="2"/>
      <c r="M7" s="2"/>
      <c r="N7" s="2"/>
      <c r="O7" s="2"/>
      <c r="P7" s="2"/>
      <c r="Q7" s="2"/>
      <c r="R7" s="2"/>
      <c r="S7" s="2"/>
      <c r="T7" s="2"/>
      <c r="U7" s="2"/>
      <c r="V7" s="2"/>
      <c r="W7" s="2"/>
      <c r="X7" s="2"/>
      <c r="Y7" s="2"/>
      <c r="Z7" s="2"/>
    </row>
    <row r="8" spans="1:26" ht="15.75" customHeight="1">
      <c r="A8" s="8">
        <v>4</v>
      </c>
      <c r="B8" s="8">
        <v>2</v>
      </c>
      <c r="C8" t="s" s="8">
        <v>348</v>
      </c>
      <c r="D8" s="11">
        <v>27</v>
      </c>
      <c r="E8" s="596">
        <v>16200000000</v>
      </c>
      <c r="F8" s="606">
        <v>1.04</v>
      </c>
      <c r="G8" s="616">
        <v>23400</v>
      </c>
      <c r="H8" s="626">
        <v>0.44</v>
      </c>
      <c r="I8" s="636">
        <v>16200000000</v>
      </c>
      <c r="J8" s="646">
        <v>23400</v>
      </c>
      <c r="K8" s="2"/>
      <c r="L8" s="2"/>
      <c r="M8" s="2"/>
      <c r="N8" s="2"/>
      <c r="O8" s="2"/>
      <c r="P8" s="2"/>
      <c r="Q8" s="2"/>
      <c r="R8" s="2"/>
      <c r="S8" s="2"/>
      <c r="T8" s="2"/>
      <c r="U8" s="2"/>
      <c r="V8" s="2"/>
      <c r="W8" s="2"/>
      <c r="X8" s="2"/>
      <c r="Y8" s="2"/>
      <c r="Z8" s="2"/>
    </row>
    <row r="9" spans="1:26" ht="15.75" customHeight="1">
      <c r="A9" s="8">
        <v>5</v>
      </c>
      <c r="B9" s="8">
        <v>11</v>
      </c>
      <c r="C9" t="s" s="8">
        <v>349</v>
      </c>
      <c r="D9" s="11">
        <v>39</v>
      </c>
      <c r="E9" s="597">
        <v>13400000000</v>
      </c>
      <c r="F9" s="607">
        <v>4.47</v>
      </c>
      <c r="G9" s="617">
        <v>21500</v>
      </c>
      <c r="H9" s="627">
        <v>2.75</v>
      </c>
      <c r="I9" s="637">
        <v>13400000000</v>
      </c>
      <c r="J9" s="647">
        <v>21500</v>
      </c>
      <c r="K9" s="2"/>
      <c r="L9" s="2"/>
      <c r="M9" s="2"/>
      <c r="N9" s="2"/>
      <c r="O9" s="2"/>
      <c r="P9" s="2"/>
      <c r="Q9" s="2"/>
      <c r="R9" s="2"/>
      <c r="S9" s="2"/>
      <c r="T9" s="2"/>
      <c r="U9" s="2"/>
      <c r="V9" s="2"/>
      <c r="W9" s="2"/>
      <c r="X9" s="2"/>
      <c r="Y9" s="2"/>
      <c r="Z9" s="2"/>
    </row>
    <row r="10" spans="1:26" ht="15.75" customHeight="1">
      <c r="A10" s="8">
        <v>6</v>
      </c>
      <c r="B10" s="8">
        <v>35</v>
      </c>
      <c r="C10" t="s" s="8">
        <v>350</v>
      </c>
      <c r="D10" s="11">
        <v>78</v>
      </c>
      <c r="E10" s="598">
        <v>12400000000</v>
      </c>
      <c r="F10" s="608"/>
      <c r="G10" s="618">
        <v>16400</v>
      </c>
      <c r="H10" s="628"/>
      <c r="I10" s="638">
        <v>12400000000</v>
      </c>
      <c r="J10" s="648">
        <v>16400</v>
      </c>
      <c r="K10" s="2"/>
      <c r="L10" s="2"/>
      <c r="M10" s="2"/>
      <c r="N10" s="2"/>
      <c r="O10" s="2"/>
      <c r="P10" s="2"/>
      <c r="Q10" s="2"/>
      <c r="R10" s="2"/>
      <c r="S10" s="2"/>
      <c r="T10" s="2"/>
      <c r="U10" s="2"/>
      <c r="V10" s="2"/>
      <c r="W10" s="2"/>
      <c r="X10" s="2"/>
      <c r="Y10" s="2"/>
      <c r="Z10" s="2"/>
    </row>
    <row r="11" spans="1:26" ht="15.75" customHeight="1">
      <c r="A11" s="8">
        <v>7</v>
      </c>
      <c r="B11" s="8">
        <v>536</v>
      </c>
      <c r="C11" t="s" s="8">
        <v>351</v>
      </c>
      <c r="D11" s="11">
        <v>15</v>
      </c>
      <c r="E11" s="599">
        <v>9300000000</v>
      </c>
      <c r="F11" s="609"/>
      <c r="G11" s="619">
        <v>19900</v>
      </c>
      <c r="H11" s="629"/>
      <c r="I11" s="639">
        <v>9300000000</v>
      </c>
      <c r="J11" s="649">
        <v>19900</v>
      </c>
      <c r="K11" s="2"/>
      <c r="L11" s="2"/>
      <c r="M11" s="2"/>
      <c r="N11" s="2"/>
      <c r="O11" s="2"/>
      <c r="P11" s="2"/>
      <c r="Q11" s="2"/>
      <c r="R11" s="2"/>
      <c r="S11" s="2"/>
      <c r="T11" s="2"/>
      <c r="U11" s="2"/>
      <c r="V11" s="2"/>
      <c r="W11" s="2"/>
      <c r="X11" s="2"/>
      <c r="Y11" s="2"/>
      <c r="Z11" s="2"/>
    </row>
    <row r="12" spans="1:26" ht="15.75" customHeight="1">
      <c r="A12" s="2">
        <v>8</v>
      </c>
      <c r="B12" s="2">
        <v>4</v>
      </c>
      <c r="C12" t="s" s="2">
        <v>352</v>
      </c>
      <c r="D12" s="2">
        <v>71</v>
      </c>
      <c r="E12" s="600">
        <v>8800000000</v>
      </c>
      <c r="F12" s="610">
        <v>0.53</v>
      </c>
      <c r="G12" s="620">
        <v>15700</v>
      </c>
      <c r="H12" s="630">
        <v>0.06</v>
      </c>
      <c r="I12" s="640">
        <v>8800000000</v>
      </c>
      <c r="J12" s="650">
        <v>15700</v>
      </c>
      <c r="K12" s="2"/>
      <c r="L12" s="2"/>
      <c r="M12" s="2"/>
      <c r="N12" s="2"/>
      <c r="O12" s="2"/>
      <c r="P12" s="2"/>
      <c r="Q12" s="2"/>
      <c r="R12" s="2"/>
      <c r="S12" s="2"/>
      <c r="T12" s="2"/>
      <c r="U12" s="2"/>
      <c r="V12" s="2"/>
      <c r="W12" s="2"/>
      <c r="X12" s="2"/>
      <c r="Y12" s="2"/>
      <c r="Z12" s="2"/>
    </row>
    <row r="13" spans="1:26" ht="15.75" customHeight="1">
      <c r="A13" s="2">
        <v>9</v>
      </c>
      <c r="B13" s="2">
        <v>17</v>
      </c>
      <c r="C13" t="s" s="2">
        <v>353</v>
      </c>
      <c r="D13" s="2">
        <v>12</v>
      </c>
      <c r="E13" s="601">
        <v>7200000000</v>
      </c>
      <c r="F13" s="611">
        <v>6.44</v>
      </c>
      <c r="G13" s="621">
        <v>8200</v>
      </c>
      <c r="H13" s="631">
        <v>2.7</v>
      </c>
      <c r="I13" s="641">
        <v>7200000000</v>
      </c>
      <c r="J13" s="651">
        <v>8200</v>
      </c>
      <c r="K13" s="2"/>
      <c r="L13" s="2"/>
      <c r="M13" s="2"/>
      <c r="N13" s="2"/>
      <c r="O13" s="2"/>
      <c r="P13" s="2"/>
      <c r="Q13" s="2"/>
      <c r="R13" s="2"/>
      <c r="S13" s="2"/>
      <c r="T13" s="2"/>
      <c r="U13" s="2"/>
      <c r="V13" s="2"/>
      <c r="W13" s="2"/>
      <c r="X13" s="2"/>
      <c r="Y13" s="2"/>
      <c r="Z13" s="2"/>
    </row>
    <row r="14" spans="1:26" ht="15.75" customHeight="1">
      <c r="A14" s="2">
        <v>10</v>
      </c>
      <c r="B14" s="2">
        <v>1</v>
      </c>
      <c r="C14" t="s" s="2">
        <v>354</v>
      </c>
      <c r="D14" s="2">
        <v>126</v>
      </c>
      <c r="E14" s="602">
        <v>7000000000</v>
      </c>
      <c r="F14" s="612">
        <v>-0.17</v>
      </c>
      <c r="G14" s="622">
        <v>30100</v>
      </c>
      <c r="H14" s="632">
        <v>-0.31</v>
      </c>
      <c r="I14" s="642">
        <v>7000000000</v>
      </c>
      <c r="J14" s="652">
        <v>30100</v>
      </c>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J1"/>
    <mergeCell ref="A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Điều kiện lọc</vt:lpstr>
      <vt:lpstr>Tổng quan thị trường</vt:lpstr>
      <vt:lpstr>Doanh số theo TMĐT</vt:lpstr>
      <vt:lpstr>Tăng trưởng doanh số</vt:lpstr>
      <vt:lpstr>Ngành hàng theo DS</vt:lpstr>
      <vt:lpstr>Mức giá theo DS</vt:lpstr>
      <vt:lpstr>Top 10 thương hiệu (DS)</vt:lpstr>
      <vt:lpstr>Top 10 gian hàng (DS)</vt:lpstr>
      <vt:lpstr>Top 10 thương hiệu (gian hàng)</vt:lpstr>
      <vt:lpstr>Kiểu gian hàng (DS)</vt:lpstr>
      <vt:lpstr>Vị trí</vt:lpstr>
      <vt:lpstr>Top sản phẩm bán chạy</vt:lpstr>
      <vt:lpstr>Top gian hàng bán chạy</vt:lpstr>
      <vt:lpstr>Top thương hiệu bán chạy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thienan.finance01@gmail.com</cp:lastModifiedBy>
  <dcterms:modified xsi:type="dcterms:W3CDTF">2026-07-12T03:18:21Z</dcterms:modified>
</cp:coreProperties>
</file>